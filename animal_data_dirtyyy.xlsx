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0f1e77b37a31289e/"/>
    </mc:Choice>
  </mc:AlternateContent>
  <xr:revisionPtr revIDLastSave="105" documentId="13_ncr:b_{64412C0A-D3B5-40E1-ADB8-A8DE7D7EC2FD}" xr6:coauthVersionLast="47" xr6:coauthVersionMax="47" xr10:uidLastSave="{FFFA909C-2EB8-40C5-9B4C-2A18F517ADB4}"/>
  <bookViews>
    <workbookView xWindow="20" yWindow="20" windowWidth="19180" windowHeight="10060" firstSheet="1" activeTab="3" xr2:uid="{B83D7A9F-CBDA-408F-8B81-62DD0B1EB5D8}"/>
  </bookViews>
  <sheets>
    <sheet name="animal_data_dirtyyy" sheetId="2" r:id="rId1"/>
    <sheet name="animal_data_cleaned" sheetId="3" r:id="rId2"/>
    <sheet name="PivotTable" sheetId="5" r:id="rId3"/>
    <sheet name="Dashboard" sheetId="6" r:id="rId4"/>
  </sheets>
  <definedNames>
    <definedName name="_xlchart.v1.0" hidden="1">PivotTable!$A$25:$A$31</definedName>
    <definedName name="_xlchart.v1.1" hidden="1">PivotTable!$B$24</definedName>
    <definedName name="_xlchart.v1.2" hidden="1">PivotTable!$B$25:$B$31</definedName>
    <definedName name="_xlchart.v1.3" hidden="1">PivotTable!$A$25:$A$31</definedName>
    <definedName name="_xlchart.v1.4" hidden="1">PivotTable!$B$24</definedName>
    <definedName name="_xlchart.v1.5" hidden="1">PivotTable!$B$25:$B$31</definedName>
    <definedName name="kpi">PivotTable!$B$8</definedName>
    <definedName name="loc">PivotTable!$A$14</definedName>
    <definedName name="observed">PivotTable!$A$4</definedName>
    <definedName name="Slicer_Animal_Typ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4" i="5" l="1"/>
  <c r="B24" i="5"/>
  <c r="A25" i="5"/>
  <c r="B25" i="5"/>
  <c r="A26" i="5"/>
  <c r="B26" i="5"/>
  <c r="A27" i="5"/>
  <c r="B27" i="5"/>
  <c r="A28" i="5"/>
  <c r="B28" i="5"/>
  <c r="A29" i="5"/>
  <c r="B29" i="5"/>
  <c r="A30" i="5"/>
  <c r="B30" i="5"/>
  <c r="A31" i="5"/>
  <c r="B31" i="5"/>
  <c r="I835"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alcChain>
</file>

<file path=xl/sharedStrings.xml><?xml version="1.0" encoding="utf-8"?>
<sst xmlns="http://schemas.openxmlformats.org/spreadsheetml/2006/main" count="4403" uniqueCount="892">
  <si>
    <t>Country</t>
  </si>
  <si>
    <t>Gender</t>
  </si>
  <si>
    <t>Latitude</t>
  </si>
  <si>
    <t>Longitude</t>
  </si>
  <si>
    <t>Poland</t>
  </si>
  <si>
    <t>Anne Anthony</t>
  </si>
  <si>
    <t>Hungary</t>
  </si>
  <si>
    <t>Germany</t>
  </si>
  <si>
    <t>Bob Bobson</t>
  </si>
  <si>
    <t>Slovakia</t>
  </si>
  <si>
    <t>John Johnson</t>
  </si>
  <si>
    <t>Czech Republic</t>
  </si>
  <si>
    <t>Austria</t>
  </si>
  <si>
    <t>James Johnson</t>
  </si>
  <si>
    <t>Animal type;Country;Weight kg;Body Length cm;Gender;Animal code;Latitude;Longitude;Animal name;Observation date;Data compiled by</t>
  </si>
  <si>
    <t>;;;;;;;;;03.01.2024;James Johnson</t>
  </si>
  <si>
    <t>;;;;;;;;;03.02.2024;James Johnson</t>
  </si>
  <si>
    <t>European bison;Poland;930;335;male;;52.828845;23.820144;Szefu;01.03.2024;Anne Anthony</t>
  </si>
  <si>
    <t>European bison;Poland;909;311;not determined;;52.830509;23.826849;;01.03.2024;Anne Anthony</t>
  </si>
  <si>
    <t>European bison™;Poland;581;277;female;;52.834109;23.807093;;01.03.2024;Anne Anthony</t>
  </si>
  <si>
    <t>European bisson;Poland;900;295;male;;52.834759;23.817201;;01.03.2024;Anne Anthony</t>
  </si>
  <si>
    <t>European buster;Poland;620;250;female;;52.834960;23.820750;;01.03.2024;Anne Anthony</t>
  </si>
  <si>
    <t>lynx;Hungary;24;76;male;;48.505494;20.551966;;01.03.2024;Anne Anthony</t>
  </si>
  <si>
    <t>lynx?;Hungary;23;82;female;;48.506529;20.554548;;01.03.2024;Anne Anthony</t>
  </si>
  <si>
    <t>red squirel;Poland;0.308;22;female;;52.241273;21.055745;Basia;01.03.2024;Anne Anthony</t>
  </si>
  <si>
    <t>red squirrel;PL;0.348;20;female;;52.242060;21.057802;;01.03.2024;Anne Anthony</t>
  </si>
  <si>
    <t>red squirrel;Poland;0.316;20;male;;52.240035;21.056188;Lolek;01.03.2024;Anne Anthony</t>
  </si>
  <si>
    <t>red squirrel;Poland;0.34;21;;;52.240284;21.051948;;01.03.2024;Anne Anthony</t>
  </si>
  <si>
    <t>red squirrel;Poland;0.333;21;male;;;;;01.03.2024;Anne Anthony</t>
  </si>
  <si>
    <t>red squirrel;Poland;0.265;19;female;;52.240560;21.055899;;01.03.2024;Anne Anthony</t>
  </si>
  <si>
    <t>red squirrel;Poland;;;male;;52.241177;21.052873;;01.03.2024;Anne Anthony</t>
  </si>
  <si>
    <t>red squirrel;PL;0.261;22;female;;52.240833;21.052093;;01.03.2024;Anne Anthony</t>
  </si>
  <si>
    <t>red squirrel;Poland;0.317;23;male;;52.241358;21.056352;;01.03.2024;Anne Anthony</t>
  </si>
  <si>
    <t>red squirrel;Poland;0.328;21;male;;52.241905;21.050727;;01.03.2024;Anne Anthony</t>
  </si>
  <si>
    <t>red squirrel;Hungary;0.305;21;male;;47.511401;18.949119;;01.03.2024;Anne Anthony</t>
  </si>
  <si>
    <t>red squirrell;Poland;0.328;23;male;;52.241920;21.056347;;01.03.2024;Anne Anthony</t>
  </si>
  <si>
    <t>red squirrel;Germany;0.294;19;male;;;;;01.03.2024;Bob Bobson</t>
  </si>
  <si>
    <t>red squirrel;Germany;0.25;19;female;;;;;01.03.2024;Bob Bobson</t>
  </si>
  <si>
    <t>red squirrel;Germany;0.262;21;male;;;;;01.03.2024;Bob Bobson</t>
  </si>
  <si>
    <t>red squirrel;Germany;0.267;21;female;;;;;01.03.2024;Bob Bobson</t>
  </si>
  <si>
    <t>red squirrel;Germany;0.269;22;male;;;;;01.03.2024;Bob Bobson</t>
  </si>
  <si>
    <t>red squirrel;Germany;0.308;22;female;;;;;01.03.2024;Bob Bobson</t>
  </si>
  <si>
    <t>red squirrel;Germany;0.308;19;male;;;;;01.03.2024;Bob Bobson</t>
  </si>
  <si>
    <t>red squirrel;Germany;0.27;20;male;;;;;01.03.2024;Bob Bobson</t>
  </si>
  <si>
    <t>red squirrel;Germany;0.32;20;male;;;;;01.03.2024;Bob Bobson</t>
  </si>
  <si>
    <t>red squirrel;Germany;0.262;20;male;;;;;01.03.2024;Bob Bobson</t>
  </si>
  <si>
    <t>red squirrel;Germany;0.256;21;male;;;;;01.03.2024;Bob Bobson</t>
  </si>
  <si>
    <t>red squirrel;Germany;0.245;22;male;;;;;01.03.2024;Bob Bobson</t>
  </si>
  <si>
    <t>red squirrel;Germany;0.292;19;male;;;;;01.03.2024;Bob Bobson</t>
  </si>
  <si>
    <t>red squirrel;Germany;0.289;19;female;;;;;01.03.2024;Bob Bobson</t>
  </si>
  <si>
    <t>red squirrel;Germany;0.308;22;male;;;;;01.03.2024;Bob Bobson</t>
  </si>
  <si>
    <t>European bison;Slovakia;420;182;male;;49.054684;22.417189;;01.03.2024;John Johnson</t>
  </si>
  <si>
    <t>European bison;Slovakia;511;266;female;;49.053629;22.421831;;01.03.2024;John Johnson</t>
  </si>
  <si>
    <t>European bison;Slovakia;814;288;male;;49.053489;22.415229;;01.03.2024;John Johnson</t>
  </si>
  <si>
    <t>European bison;Slovakia;130;141;female;;49.054166;22.422852;;01.03.2024;John Johnson</t>
  </si>
  <si>
    <t>European bison;Slovakia;390;180;female;;49.052731;22.422675;;01.03.2024;John Johnson</t>
  </si>
  <si>
    <t>European bison;Slovakia;355;179;male;;49.055974;22.415985;;01.03.2024;John Johnson</t>
  </si>
  <si>
    <t>European bison;Slovakia;566;272;female;;49.053342;22.423867;;01.03.2024;John Johnson</t>
  </si>
  <si>
    <t>European bison;Slovakia;393;152;not determined;;49.056471;22.422475;;01.03.2024;John Johnson</t>
  </si>
  <si>
    <t>European bison™;Czech Republic;823;286;male;;50.636564;14.834553;;01.03.2024;John Johnson</t>
  </si>
  <si>
    <t>European bison™;Slovakia;695;316;male;;49.055537;22.419428;;01.03.2024;John Johnson</t>
  </si>
  <si>
    <t>hedgehog;Czech Republic;0.6;20;female;;50.636869;14.844555;;01.03.2024;John Johnson</t>
  </si>
  <si>
    <t>hedgehog;Czech Republic;0.6;-16;male;;50.644733;14.835753;;01.03.2024;John Johnson</t>
  </si>
  <si>
    <t>hedgehog;Czech Republic;1.2;31;male;;50.635766;14.844247;;01.03.2024;John Johnson</t>
  </si>
  <si>
    <t>red squirrel;Slovakia;0.275;23;male;;48.185353;17.08322;;01.03.2024;John Johnson</t>
  </si>
  <si>
    <t>wedgehod;Czech Republic;0.9;22;male;;50.642843;14.841240;;01.03.2024;John Johnson</t>
  </si>
  <si>
    <t>lynx;Hungary;23;78;female;;48.504128;20.568479;;02.03.2024;Anne Anthony</t>
  </si>
  <si>
    <t>lynx?;Poland;29;94;male;;52.809851;23.858071;;02.03.2024;Anne Anthony</t>
  </si>
  <si>
    <t>red squirrel;Germany;0.244;22;female;;;;;02.03.2024;Bob Bobson</t>
  </si>
  <si>
    <t>red squirrel;Germany;0.299;21;male;;;;;02.03.2024;Bob Bobson</t>
  </si>
  <si>
    <t>red squirrel;Germany;0.284;20;female;;;;;02.03.2024;Bob Bobson</t>
  </si>
  <si>
    <t>red squirrel;Germany;0.289;20;female;;;;;02.03.2024;Bob Bobson</t>
  </si>
  <si>
    <t>red squirrel;Germany;0.284;21;male;;;;;02.03.2024;Bob Bobson</t>
  </si>
  <si>
    <t>red squirrel;Germany;0.314;22;male;;;;;02.03.2024;Bob Bobson</t>
  </si>
  <si>
    <t>red squirrel;Germany;0.262;19;female;;;;;02.03.2024;Bob Bobson</t>
  </si>
  <si>
    <t>red squirrel;Germany;0.258;20;male;;;;;02.03.2024;Bob Bobson</t>
  </si>
  <si>
    <t>red squirrel;Germany;0.297;21;male;;;;;02.03.2024;Bob Bobson</t>
  </si>
  <si>
    <t>red squirrel;Germany;0.255;22;female;;;;;02.03.2024;Bob Bobson</t>
  </si>
  <si>
    <t>red squirrel;Germany;0.28;22;male;;;;;02.03.2024;Bob Bobson</t>
  </si>
  <si>
    <t>red squirrel;Germany;0.293;22;male;;;;;02.03.2024;Bob Bobson</t>
  </si>
  <si>
    <t>red squirrel;Germany;0.295;20;male;;;;;02.03.2024;Bob Bobson</t>
  </si>
  <si>
    <t>red squirrel;Germany;0.28;20;male;;;;;02.03.2024;Bob Bobson</t>
  </si>
  <si>
    <t>red squirrel;Germany;0.281;20;male;;;;;02.03.2024;Bob Bobson</t>
  </si>
  <si>
    <t>red squirrel;Germany;0.245;21;female;;;;;02.03.2024;Bob Bobson</t>
  </si>
  <si>
    <t>red squirrel;Germany;0.283;21;male;;;;;02.03.2024;Bob Bobson</t>
  </si>
  <si>
    <t>red squirrel;Germany;0.27;19;male;;;;;02.03.2024;Bob Bobson</t>
  </si>
  <si>
    <t>red squirrel;Germany;0.315;22;male;;;;;02.03.2024;Bob Bobson</t>
  </si>
  <si>
    <t>red squirrel;Germany;0.254;17;female;;;;;02.03.2024;Bob Bobson</t>
  </si>
  <si>
    <t>red squirrel;Germany;0.249;19;male;;;;;02.03.2024;Bob Bobson</t>
  </si>
  <si>
    <t>red squirrel;Germany;0.298;21;male;;;;;02.03.2024;Bob Bobson</t>
  </si>
  <si>
    <t>red squirrel;Germany;0.314;19;female;;;;;02.03.2024;Bob Bobson</t>
  </si>
  <si>
    <t>red squirrel;Germany;0.251;19;male;;;;;02.03.2024;Bob Bobson</t>
  </si>
  <si>
    <t>red squirrel;Germany;0.293;20;female;;;;;02.03.2024;Bob Bobson</t>
  </si>
  <si>
    <t>red squirrel;Germany;0.301;20;male;;;;;02.03.2024;Bob Bobson</t>
  </si>
  <si>
    <t>red squirrel;Germany;0.271;17;male;;;;;02.03.2024;Bob Bobson</t>
  </si>
  <si>
    <t>red squirrel;Germany;0.275;20;male;;;;;02.03.2024;Bob Bobson</t>
  </si>
  <si>
    <t>red squirrel;Germany;0.304;21;male;;;;;02.03.2024;Bob Bobson</t>
  </si>
  <si>
    <t>red squirrel;Germany;0.308;20;male;;;;;02.03.2024;Bob Bobson</t>
  </si>
  <si>
    <t>red squirrel;Germany;0.24;21;male;;;;;02.03.2024;Bob Bobson</t>
  </si>
  <si>
    <t>European bison;Czech;402;162;female;;50.641008;14.836529;;02.03.2024;John Johnson</t>
  </si>
  <si>
    <t>European bison;Czech Republic;535;295;male;;50.643406;14.836495;;02.03.2024;John Johnson</t>
  </si>
  <si>
    <t>European buster;Czech Republic;572;251;female;;50.638945;14.845452;;02.03.2024;John Johnson</t>
  </si>
  <si>
    <t>hedgehog;Czech Republic;0.9;20;female;;50.639869;14.849702;;02.03.2024;John Johnson</t>
  </si>
  <si>
    <t>hedgehog;Czech Republic;0.7;16;female;;50.643039;14.840662;;02.03.2024;John Johnson</t>
  </si>
  <si>
    <t>hedgehog;Czech Republic;0.7;14;female;;50.637879;14.838429;;02.03.2024;John Johnson</t>
  </si>
  <si>
    <t>hedgehog;Czech Republic;1.1;32;male;;50.643254;14.843730;;02.03.2024;John Johnson</t>
  </si>
  <si>
    <t>hedgehog;Czech Republic;0.5;20;male;;50.643854;14.837155;;02.03.2024;John Johnson</t>
  </si>
  <si>
    <t>hedgehog;Czech Republic;1.1;22;female;;50.635584;14.837072;;02.03.2024;John Johnson</t>
  </si>
  <si>
    <t>hedgehog;Czech Republic;1;20;female;;50.642723;14.837229;;02.03.2024;John Johnson</t>
  </si>
  <si>
    <t>hedgehog;Czech Republic;0.7;13;female;;50.639389;14.844400;;02.03.2024;John Johnson</t>
  </si>
  <si>
    <t>lynx;Slovakia;30;120;male;;48.409308;18.832606;;02.03.2024;John Johnson</t>
  </si>
  <si>
    <t>red squirrel;Hungry;0.262;20;female;;47.510799;18.945583;;03.03.2024;Anne Anthony</t>
  </si>
  <si>
    <t>;;;;;;;;;03.03.2024;James Johnson</t>
  </si>
  <si>
    <t>hedgehog;Czech Republic;0.6;20;male;;50.637375;14.839785;;03.03.2024;John Johnson</t>
  </si>
  <si>
    <t>lynx;Slovakia;28;131;male;;48.406304;18.842851;;03.03.2024;John Johnson</t>
  </si>
  <si>
    <t>red squirel;Slovakia;0.281;18;male;;48.187690;17.086471;;03.03.2024;John Johnson</t>
  </si>
  <si>
    <t>European bison;Poland;650;285;female;;52.834741;23.826716;;04.03.2024;Anne Anthony</t>
  </si>
  <si>
    <t>hedgehog;HU;1.1;24;male;;48.503795;20.555932;;04.03.2024;Anne Anthony</t>
  </si>
  <si>
    <t>hedgehog;Hungary;1.1;26;not determined;;48.503062;20.551698;;04.03.2024;Anne Anthony</t>
  </si>
  <si>
    <t>hedgehog;Hungary;0.8;18;female;;48.503498;20.539662;;04.03.2024;Anne Anthony</t>
  </si>
  <si>
    <t>hedgehog;Hungary;1.2;26;male;;48.509298;20.551977;;04.03.2024;Anne Anthony</t>
  </si>
  <si>
    <t>hedgehog;Poland;0.9;22;male;;52.214679;21.033021;;04.03.2024;Anne Anthony</t>
  </si>
  <si>
    <t>lynx;Hungary;25;89;male;;48.504169;20.559452;;04.03.2024;Anne Anthony</t>
  </si>
  <si>
    <t>red squirel;Hungary;0.283;18;female;;48.505251;20.551473;;04.03.2024;Anne Anthony</t>
  </si>
  <si>
    <t>red squirrel;Hungary;0.307;-19;male;;;;;04.03.2024;Anne Anthony</t>
  </si>
  <si>
    <t>red squirrel;Hungary;0.296;22;male;;48.502584;20.532518;;04.03.2024;Anne Anthony</t>
  </si>
  <si>
    <t>red squirrel;Hungary;0.301;18;female;;48.505512;20.538038;;04.03.2024;Anne Anthony</t>
  </si>
  <si>
    <t>red squirrel;Hungary;0.295;17;male;;48.505780;20.546466;;04.03.2024;Anne Anthony</t>
  </si>
  <si>
    <t>red squirrel;Hungry;0.32;18;male;;48.502091;20.547521;;04.03.2024;Anne Anthony</t>
  </si>
  <si>
    <t>red squirrel;Hungary;0.28;19;female;;48.505494;20.536362;;04.03.2024;Anne Anthony</t>
  </si>
  <si>
    <t>red squirrel;Poland;0.33;24;male;;52.241203;21.050999;;04.03.2024;Anne Anthony</t>
  </si>
  <si>
    <t>red squirrel;Poland;0.3;22;female;;52.240018;21.052390;Lola;04.03.2024;Anne Anthony</t>
  </si>
  <si>
    <t>red squirrel;Poland;0.283;17;female;;52.239931;21.056703;;04.03.2024;Anne Anthony</t>
  </si>
  <si>
    <t>red squirrel;Poland;0.341;21;male;;52.241856;21.053078;;04.03.2024;Anne Anthony</t>
  </si>
  <si>
    <t>red squirrel;PL;0.35;24;male;;52.240453;21.055847;;04.03.2024;Anne Anthony</t>
  </si>
  <si>
    <t>red squirrel;Poland;0.291;21;;;52.241662;21.056430;;04.03.2024;Anne Anthony</t>
  </si>
  <si>
    <t>red squirrel;Poland;0.329;22;female;;52.241638;21.055998;Lola;04.03.2024;Anne Anthony</t>
  </si>
  <si>
    <t>red squirrell;HU;0.327;18;female;;48.502803;20.548668;;04.03.2024;Anne Anthony</t>
  </si>
  <si>
    <t>red squirrell;Poland;0.35;24;male;;52.240497;21.055991;;04.03.2024;Anne Anthony</t>
  </si>
  <si>
    <t>hedgehog;Czech Republic;0.6;17;male;;50.635501;14.838158;;04.03.2024;John Johnson</t>
  </si>
  <si>
    <t>hedgehog;Czech Republic;0.9;22;female;;50.638142;14.849689;;04.03.2024;John Johnson</t>
  </si>
  <si>
    <t>red squirrel;Czech Republic;0.289;21;female;;49.937872;14.179825;;04.03.2024;John Johnson</t>
  </si>
  <si>
    <t>red squirrel;Slovakia;0.297;20;female;;48.185194;17.083142;;04.03.2024;John Johnson</t>
  </si>
  <si>
    <t>lynx;HU;24;79;male;;48.503043;20.561567;;05.03.2024;Anne Anthony</t>
  </si>
  <si>
    <t>red squirrel;Poland;0.301;23;female;;52.240867;21.054339;;05.03.2024;Anne Anthony</t>
  </si>
  <si>
    <t>red squirrel;Poland;0.344;20;male;;52.240522;21.057552;;05.03.2024;Anne Anthony</t>
  </si>
  <si>
    <t>red squirrel;Hungary;0.253;-19;male;;47.507002;18.950091;;05.03.2024;Anne Anthony</t>
  </si>
  <si>
    <t>red squirrel;Hungary;0.293;18;female;;47.507557;18.942066;;05.03.2024;Anne Anthony</t>
  </si>
  <si>
    <t>;Austria;0.263;22;male;;;;;05.03.2024;Bob Bobson</t>
  </si>
  <si>
    <t>hedgehog;Czech;0.9;19;female;;50.107284;14.346127;;05.03.2024;John Johnson</t>
  </si>
  <si>
    <t>lynx?;Slovakia;23;97;female;;48.413226;18.848128;;05.03.2024;John Johnson</t>
  </si>
  <si>
    <t>red squirel;Slovakia;0.333;23;male;;48.409023;18.843990;;05.03.2024;John Johnson</t>
  </si>
  <si>
    <t>red squirrel;Slovakia;0.32;17;male;;48.406733;18.838754;;05.03.2024;John Johnson</t>
  </si>
  <si>
    <t>red squirrel;Slovakia;0.266;18;female;;48.404590;18.846849;;05.03.2024;John Johnson</t>
  </si>
  <si>
    <t>red squirrel;Slovakia;0.306;22;male;;48.408318;18.844383;;05.03.2024;John Johnson</t>
  </si>
  <si>
    <t>red squirrel;Slovakia;0.311;22;male;;48.412458;18.832425;;05.03.2024;John Johnson</t>
  </si>
  <si>
    <t>red squirrel;Slovakia;0.291;22;female;;48.406551;18.837137;;05.03.2024;John Johnson</t>
  </si>
  <si>
    <t>red squirrell;Slovakia;0.259;19;male;;48.405516;18.850994;;05.03.2024;John Johnson</t>
  </si>
  <si>
    <t>European bison;Poland;454;225;female;;52.834423;23.827103;;06.03.2024;Anne Anthony</t>
  </si>
  <si>
    <t>hedgehog;Poland;1.1;22;female;;52.214521;21.031889;;06.03.2024;Anne Anthony</t>
  </si>
  <si>
    <t>hedgehog;Poland;0.9;21;male;;52.214934;21.032106;;06.03.2024;Anne Anthony</t>
  </si>
  <si>
    <t>lynx;Hungry;18;81;female;;48.511532;20.539112;;06.03.2024;Anne Anthony</t>
  </si>
  <si>
    <t>red squirrel;Poland;0.343;23;male;;52.241638;21.057329;;06.03.2024;Anne Anthony</t>
  </si>
  <si>
    <t>red squirrel;Poland;0.274;22;female;;52.241235;21.057356;;06.03.2024;Anne Anthony</t>
  </si>
  <si>
    <t>hedgehog;Czech Republic;0.6;17;female;;50.106942;14.348502;;06.03.2024;John Johnson</t>
  </si>
  <si>
    <t>hedgehog;Czech Republic;0.4;12;female;;50.107223;14.34732;;06.03.2024;John Johnson</t>
  </si>
  <si>
    <t>hedgehog;Czech Republic;1.1;26;male;;50.106379;14.347645;;06.03.2024;John Johnson</t>
  </si>
  <si>
    <t>hedgehog;Czech Republic;0.8;22;male;;50.106579;14.346283;;06.03.2024;John Johnson</t>
  </si>
  <si>
    <t>red squirrel;Slovakia;0.334;21;male;;48.188008;17.085312;;06.03.2024;John Johnson</t>
  </si>
  <si>
    <t>red squirrell;Slovakia;0.307;23;female;;48.185298;17.084072;;06.03.2024;John Johnson</t>
  </si>
  <si>
    <t>European bison;Poland;862;312;male;;52.831879;23.826297;;07.03.2024;Anne Anthony</t>
  </si>
  <si>
    <t>hedgehog;Hungary;;;female;;48.506206;20.565308;;07.03.2024;Anne Anthony</t>
  </si>
  <si>
    <t>hedgehog;Hungary;0.5;16;male;;48.505090;20.539448;;07.03.2024;Anne Anthony</t>
  </si>
  <si>
    <t>hedgehog;Hungary;0.8;23;female;;48.504425;20.548744;;07.03.2024;Anne Anthony</t>
  </si>
  <si>
    <t>hedgehog;Hungary;0.7;18;female;;48.505617;20.541054;;07.03.2024;Anne Anthony</t>
  </si>
  <si>
    <t>hedgehog;Hungry;1.2;23;male;;48.503254;20.555951;;07.03.2024;Anne Anthony</t>
  </si>
  <si>
    <t>hedgehog;Hungry;0.5;15;male;;48.502359;20.563385;;07.03.2024;Anne Anthony</t>
  </si>
  <si>
    <t>hedgehog;Hungary;0.6;18;female;;48.511048;20.567209;;07.03.2024;Anne Anthony</t>
  </si>
  <si>
    <t>lynx;Hungary;29;109;male;;48.501574;20.532455;;07.03.2024;Anne Anthony</t>
  </si>
  <si>
    <t>lynx;Poland;26;85;female;;52.808579;23.843768;;07.03.2024;Anne Anthony</t>
  </si>
  <si>
    <t>red squirrel;HU;0.296;19;male;;-2.023546;34.896734;;07.03.2024;Anne Anthony</t>
  </si>
  <si>
    <t>red squirrel;Hungary;0.3;23;male;;48.505406;20.535848;;07.03.2024;Anne Anthony</t>
  </si>
  <si>
    <t>red squirrel;Hungary;0.286;18;female;;48.503917;20.536503;;07.03.2024;Anne Anthony</t>
  </si>
  <si>
    <t>red squirrel;Poland;0.318;21;male;;52.240616;21.054902;;07.03.2024;Anne Anthony</t>
  </si>
  <si>
    <t>European bison;Czech Republic;716;303;male;;50.636161;14.846951;;07.03.2024;John Johnson</t>
  </si>
  <si>
    <t>European bison™;Czech Republic;541;212;female;;50.642592;14.850140;;07.03.2024;John Johnson</t>
  </si>
  <si>
    <t>European bisson;Czech Republic;30;100;female;;50.636423;14.847287;;07.03.2024;John Johnson</t>
  </si>
  <si>
    <t>ledgehod;Czech Republic;0.7;20;female;;50.106607;14.347909;;07.03.2024;John Johnson</t>
  </si>
  <si>
    <t>ledgehod;Czech Republic;0.7;20;female;;50.106925;14.346629;;07.03.2024;John Johnson</t>
  </si>
  <si>
    <t>ledgehod;Czech Republic;1.2;26;male;;50.107284;14.347676;;07.03.2024;John Johnson</t>
  </si>
  <si>
    <t>red squirrel;Czech Republic;0.273;17;female;;49.938634;14.181813;;07.03.2024;John Johnson</t>
  </si>
  <si>
    <t>hedgehog;Hungary;1;24;female;;48.506913;20.540427;;08.03.2024;Anne Anthony</t>
  </si>
  <si>
    <t>hedgehog;Poland;0.8;19;female;;52.214365;21.031462;;08.03.2024;Anne Anthony</t>
  </si>
  <si>
    <t>red squirrel;Hungary;0.261;19;female;;47.507023;18.940532;;08.03.2024;Anne Anthony</t>
  </si>
  <si>
    <t>hedgehog;Czech Republic;0.8;22;male;;50.106811;14.348513;;08.03.2024;John Johnson</t>
  </si>
  <si>
    <t>hedgehog;Czech Republic;1.1;23;male;;50.107278;14.348461;;08.03.2024;John Johnson</t>
  </si>
  <si>
    <t>European bison;Poland;621;277;female;;52.828561;23.816861;;09.03.2024;Anne Anthony</t>
  </si>
  <si>
    <t>European bison;Poland;385;168;female;;52.833261;23.815203;;09.03.2024;Anne Anthony</t>
  </si>
  <si>
    <t>hedgehog;Poland;0.6;-19;male;;52.214410;21.032484;;09.03.2024;Anne Anthony</t>
  </si>
  <si>
    <t>hedgehog;Poland;0.8;22;female;;52.214452;21.034505;;09.03.2024;Anne Anthony</t>
  </si>
  <si>
    <t>lynx;Hungary;12;61;female;;48.508239;20.567914;;09.03.2024;Anne Anthony</t>
  </si>
  <si>
    <t>lynx;Hungary;23;73;female;;48.507503;20.551726;;09.03.2024;Anne Anthony</t>
  </si>
  <si>
    <t>lynx;PL;20;95;female;;52.814984;23.840681;;09.03.2024;Anne Anthony</t>
  </si>
  <si>
    <t>lynx;Poland;18;63;male;;52.812647;23.863299;;09.03.2024;Anne Anthony</t>
  </si>
  <si>
    <t>red squirrel;Poland;0.302;22;male;;52.241375;21.050845;;09.03.2024;Anne Anthony</t>
  </si>
  <si>
    <t>red squirrell;Hungary;0.284;20;female;;47.509380;18.949607;;09.03.2024;Anne Anthony</t>
  </si>
  <si>
    <t>hedgehog;Czech Republic;0.9;22;female;;50.106583;14.346471;;09.03.2024;John Johnson</t>
  </si>
  <si>
    <t>hedgehog;Czech Republic;1.1;23;male;;50.106960;14.346126;;09.03.2024;John Johnson</t>
  </si>
  <si>
    <t>hedgehog;Czech Republic;0.6;19;male;;50.106311;14.346906;;09.03.2024;John Johnson</t>
  </si>
  <si>
    <t>red squirrel;Czech Republic;0.293;19;male;;49.937416;14.181449;;09.03.2024;John Johnson</t>
  </si>
  <si>
    <t>hedgehog;Hungary;0.9;20;female;;48.511080;20.567192;;10.03.2024;Anne Anthony</t>
  </si>
  <si>
    <t>hedgehog;Hungary;0.9;21;male;;48.505290;20.566169;;10.03.2024;Anne Anthony</t>
  </si>
  <si>
    <t>hedgehog;Hungary;1.1;26;male;;48.502486;20.562565;;10.03.2024;Anne Anthony</t>
  </si>
  <si>
    <t>lynx;Hungary;23;77;female;;48.509272;20.551952;;10.03.2024;Anne Anthony</t>
  </si>
  <si>
    <t>lynx;Hungry;15;71;male;;48.501180;20.557432;;10.03.2024;Anne Anthony</t>
  </si>
  <si>
    <t>hedgehog;Czech Republic;0.8;17;male;;49.938707;14.182507;;10.03.2024;John Johnson</t>
  </si>
  <si>
    <t>hedgehog;Czech Republic;0.5;18;female;;49.937531;14.180359;;10.03.2024;John Johnson</t>
  </si>
  <si>
    <t>hedgehog;Czech Republic;0.7;17;female;;49.937890;14.180882;;10.03.2024;John Johnson</t>
  </si>
  <si>
    <t>hedgehog;Czech Republic;0.5;15;female;;49.937340;14.18071;;10.03.2024;John Johnson</t>
  </si>
  <si>
    <t>European bison;Poland;24;100;female;;52.834112;23.825722;;11.03.2024;Anne Anthony</t>
  </si>
  <si>
    <t>hedgehog;Hungary;0.9;19;female;;48.505634;20.543417;;11.03.2024;Anne Anthony</t>
  </si>
  <si>
    <t>hedgehog;Poland;0.8;16;female;;52.214968;21.030987;;11.03.2024;Anne Anthony</t>
  </si>
  <si>
    <t>lynx;Hungary;20;90;female;;48.501938;20.567814;;11.03.2024;Anne Anthony</t>
  </si>
  <si>
    <t>red squirel;Hungary;0.322;21;male;;48.506217;20.545055;;11.03.2024;Anne Anthony</t>
  </si>
  <si>
    <t>red squirrel;HU;0.282;21;male;;-2.023546;34.896734;;11.03.2024;Anne Anthony</t>
  </si>
  <si>
    <t>red squirrel;Hungary;0.311;22;female;;48.505737;20.546731;;11.03.2024;Anne Anthony</t>
  </si>
  <si>
    <t>red squirrel;Hungary;0.336;22;female;;48.506095;20.543032;;11.03.2024;Anne Anthony</t>
  </si>
  <si>
    <t>red squirrel;Hungary;0.29;21;male;;48.506429;20.543875;;11.03.2024;Anne Anthony</t>
  </si>
  <si>
    <t>red squirrel;Hungary;0.293;20;male;;48.505860;20.547649;;11.03.2024;Anne Anthony</t>
  </si>
  <si>
    <t>red squirrel;Hungary;0.335;19;female;;48.502521;20.558578;;11.03.2024;Anne Anthony</t>
  </si>
  <si>
    <t>red squirrel;Hungary;0.339;19;female;;48.503752;20.558664;;11.03.2024;Anne Anthony</t>
  </si>
  <si>
    <t>red squirrel;Poland;0.304;22;;;52.241093;21.055413;;11.03.2024;Anne Anthony</t>
  </si>
  <si>
    <t>red squirel;Czech Republic;0.271;18;male;;49.937391;14.179566;;11.03.2024;John Johnson</t>
  </si>
  <si>
    <t>European bisson;Poland;315;175;male;;52.829512;23.811681;;12.03.2024;Anne Anthony</t>
  </si>
  <si>
    <t>red squirrel;Poland;0.316;24;male;;52.240707;21.057051;;12.03.2024;Anne Anthony</t>
  </si>
  <si>
    <t>red squirrel;Hungry;;;female;;47.508454;18.949343;;12.03.2024;Anne Anthony</t>
  </si>
  <si>
    <t>hedgehog;Czech Republic;0.6;20;male;;49.938169;14.178703;;12.03.2024;John Johnson</t>
  </si>
  <si>
    <t>hedgehog;Czech;0.4;17;male;;49.938527;14.179315;;12.03.2024;John Johnson</t>
  </si>
  <si>
    <t>red squirrel;Czech Republic;0.324;23;female;;49.937724;14.182072;;12.03.2024;John Johnson</t>
  </si>
  <si>
    <t>hedgehog;Hungary;0.6;14;female;;48.506262;20.547343;;13.03.2024;Anne Anthony</t>
  </si>
  <si>
    <t>hedgehog;Poland;0.8;24;male;;52.214734;21.031915;;13.03.2024;Anne Anthony</t>
  </si>
  <si>
    <t>lynx?;Hungary;20;86;male;;48.504717;20.558726;;13.03.2024;Anne Anthony</t>
  </si>
  <si>
    <t>red squirrel;Poland;0.36;23;female;;52.241510;21.052575;Basia;13.03.2024;Anne Anthony</t>
  </si>
  <si>
    <t>red squirrel;Hungary;0.26;18;male;;47.505768;18.943674;;13.03.2024;Anne Anthony</t>
  </si>
  <si>
    <t>red squirrel;Germany;0.335;18;male;;48.161549;11.493041;Bob Bobson;13.03.2024;Bob Bobson</t>
  </si>
  <si>
    <t>hedgehog;Czech Republic;0.6;15;female;;49.939297;14.181453;;13.03.2024;John Johnson</t>
  </si>
  <si>
    <t>red squirel;Slovakia;0.288;18;female;;48.185953;17.08393;;13.03.2024;John Johnson</t>
  </si>
  <si>
    <t>European bison;Poland;610;258;female;;52.821135;23.809947;;14.03.2024;Anne Anthony</t>
  </si>
  <si>
    <t>hedgehog;Hungary;0.7;21;female;;48.509199;20.552447;;14.03.2024;Anne Anthony</t>
  </si>
  <si>
    <t>hedgehog;Poland;1;21;female;;52.213985;21.030841;;14.03.2024;Anne Anthony</t>
  </si>
  <si>
    <t>hedgehog;PL;0.8;15;female;;52.213877;21.030861;;14.03.2024;Anne Anthony</t>
  </si>
  <si>
    <t>red squirrel;Poland;0.32;21;female;;52.241309;21.057247;;14.03.2024;Anne Anthony</t>
  </si>
  <si>
    <t>red squirrell;Hungary;0.287;23;female;;47.508679;18.946127;;14.03.2024;Anne Anthony</t>
  </si>
  <si>
    <t>hedgehog;Australia;0.8;24;not determined;;47.781689;14.386777;;14.03.2024;Bob Bobson</t>
  </si>
  <si>
    <t>hedgehog;Austria;0.7;19;female;;47.781139;14.382004;;14.03.2024;Bob Bobson</t>
  </si>
  <si>
    <t>hedgehog;Austria;0.8;20;male;;47.781828;14.385001;;14.03.2024;Bob Bobson</t>
  </si>
  <si>
    <t>hedgehog;Austria;0.6;14;female;;47.781060;14.386807;;14.03.2024;Bob Bobson</t>
  </si>
  <si>
    <t>hedgehog;Austria;0.7;24;male;;47.780872;14.38446;;14.03.2024;Bob Bobson</t>
  </si>
  <si>
    <t>hedgehog;Austria;0.8;21;female;;47.781117;14.38608;;14.03.2024;Bob Bobson</t>
  </si>
  <si>
    <t>lynx;Austria;22;80;female;;47.780779;14.384918;;14.03.2024;Bob Bobson</t>
  </si>
  <si>
    <t>lynx;Austria;23;86;male;;47.781257;14.383099;;14.03.2024;Bob Bobson</t>
  </si>
  <si>
    <t>hedgehog;Czech Republic;0.9;16;female;;49.938490;14.1802;;14.03.2024;John Johnson</t>
  </si>
  <si>
    <t>hedgehog;Poland;0.9;22;male;;52.214498;21.034201;;15.03.2024;Anne Anthony</t>
  </si>
  <si>
    <t>lynx;Poland;16;70;male;;52.803129;23.844358;;15.03.2024;Anne Anthony</t>
  </si>
  <si>
    <t>hedgehog;Czech Republic;0.7;21;female;;49.938132;14.181225;;15.03.2024;John Johnson</t>
  </si>
  <si>
    <t>red squirel;Slovakia;0.294;23;male;;48.184374;17.086;;15.03.2024;John Johnson</t>
  </si>
  <si>
    <t>red squirrel;Czech Republic;0.267;18;female;;49.938860;14.182738;;15.03.2024;John Johnson</t>
  </si>
  <si>
    <t>red squirrel;Czech Republic;0.328;19;male;;49.938357;14.177929;;15.03.2024;John Johnson</t>
  </si>
  <si>
    <t>European bison;Poland;35;125;female;;52.820739;23.815145;;16.03.2024;Anne Anthony</t>
  </si>
  <si>
    <t>hedgehog;Hungary;0.6;23;male;;48.501763;20.547976;;16.03.2024;Anne Anthony</t>
  </si>
  <si>
    <t>lynx;Poland;16;72;male;;52.814211;23.834358;;16.03.2024;Anne Anthony</t>
  </si>
  <si>
    <t>lynx;Poland;18;81;female;;52.802757;23.835199;;16.03.2024;Anne Anthony</t>
  </si>
  <si>
    <t>red squirrel;Poland;0.346;19;male;;52.240529;21.053603;;16.03.2024;Anne Anthony</t>
  </si>
  <si>
    <t>red squirrel;Hungary;0.27;22;female;;47.509866;18.942538;;16.03.2024;Anne Anthony</t>
  </si>
  <si>
    <t>red squirrel;Slovakia;0.326;19;female;;48.185585;17.091365;;16.03.2024;John Johnson</t>
  </si>
  <si>
    <t>European bison;Poland;915;304;male;;52.822880;23.810852;;17.03.2024;Anne Anthony</t>
  </si>
  <si>
    <t>hedgehog;Hungary;0.7;15;female;;48.504773;20.536543;;17.03.2024;Anne Anthony</t>
  </si>
  <si>
    <t>hedgehog;Poland;0.6;15;female;;52.214745;21.033701;;17.03.2024;Anne Anthony</t>
  </si>
  <si>
    <t>red squirrel;Hungary;0.278;21;female;;47.510304;18.942925;;17.03.2024;Anne Anthony</t>
  </si>
  <si>
    <t>red squirrel;Slovakia;0.322;23;female;;49.056857;22.416369;;17.03.2024;John Johnson</t>
  </si>
  <si>
    <t>red squirrel;Slovakia;0.302;23;male;;48.412370;18.875325;;17.03.2024;John Johnson</t>
  </si>
  <si>
    <t>red squirrel;Slovakia;0.334;20;female;;48.406983;18.863197;;17.03.2024;John Johnson</t>
  </si>
  <si>
    <t>red squirrel;Slovakia;0.28;19;male;;48.411486;18.867730;;17.03.2024;John Johnson</t>
  </si>
  <si>
    <t>red squirrell;Slovakia;0.289;18;male;;48.410536;18.870325;;17.03.2024;John Johnson</t>
  </si>
  <si>
    <t>European bison;Poland;537;287;female;;52.825500;23.808386;;18.03.2024;Anne Anthony</t>
  </si>
  <si>
    <t>red squirrel;Poland;0.346;23;male;;52.240737;21.053063;;18.03.2024;Anne Anthony</t>
  </si>
  <si>
    <t>hedgehog;Czech Republic;1.2;26;male;;49.938547;14.180402;;18.03.2024;John Johnson</t>
  </si>
  <si>
    <t>hedgehog;CZ;0.9;17;male;;49.937429;14.18264;;18.03.2024;John Johnson</t>
  </si>
  <si>
    <t>red squirrel;Czech Republic;0.32;18;female;;49.938634;14.179739;;18.03.2024;John Johnson</t>
  </si>
  <si>
    <t>red squirrel;Czech Republic;0.266;17;male;;49.939062;14.177939;;18.03.2024;John Johnson</t>
  </si>
  <si>
    <t>hedgehog;Hungary;1.1;19;female;;48.502512;20.563331;;19.03.2024;Anne Anthony</t>
  </si>
  <si>
    <t>hedgehog;Poland;0.4;16;male;;52.214758;21.030697;;19.03.2024;Anne Anthony</t>
  </si>
  <si>
    <t>hedgehog;Austria;1.1;21;female;;47.781212;14.384017;;19.03.2024;Bob Bobson</t>
  </si>
  <si>
    <t>hedgehog;Austria;0.7;25;male;;47.781764;14.38328;;19.03.2024;Bob Bobson</t>
  </si>
  <si>
    <t>hedgehog;Austria;1.1;24;male;;47.781883;14.382628;;19.03.2024;Bob Bobson</t>
  </si>
  <si>
    <t>hedgehog;Austria;0.4;21;female;;47.781093;14.38209;;19.03.2024;Bob Bobson</t>
  </si>
  <si>
    <t>hedgehog;Germany;0.8;16;male;;52.585958;13.147098;Bob Bobson;19.03.2024;Bob Bobson</t>
  </si>
  <si>
    <t>hedgehog;Germany;0.5;18;female;;52.586199;13.152793;Bob Bobson;19.03.2024;Bob Bobson</t>
  </si>
  <si>
    <t>hedgehog;Germany;0.5;18;male;;52.586589;13.146651;Bob Bobson;19.03.2024;Bob Bobson</t>
  </si>
  <si>
    <t>hedgehog;Germany;0.4;13;female;;52.587327;13.149206;Bob Bobson;19.03.2024;Bob Bobson</t>
  </si>
  <si>
    <t>hedgehog;Germany;1;21;male;;52.585937;13.146151;Bob Bobson;19.03.2024;Bob Bobson</t>
  </si>
  <si>
    <t>hedgehog;Czech Republic;1;17;female;;49.937696;14.182707;;19.03.2024;John Johnson</t>
  </si>
  <si>
    <t>lynx;Slovakia;16;65;male;;48.405926;18.839219;;19.03.2024;John Johnson</t>
  </si>
  <si>
    <t>red squirrel;Slovakia;0.33;18;;;48.184757;17.082936;;19.03.2024;John Johnson</t>
  </si>
  <si>
    <t>red squirrel;Slovakia;0.323;23;female;;48.186767;17.089935;;19.03.2024;John Johnson</t>
  </si>
  <si>
    <t>hedgehog;Poland;0.4;16;female;;52.214754;21.034364;;20.03.2024;Anne Anthony</t>
  </si>
  <si>
    <t>hedgehog;Poland;0.7;26;male;;52.215034;21.033030;;20.03.2024;Anne Anthony</t>
  </si>
  <si>
    <t>red squirel;Poland;0.35;19;female;;52.241637;21.051540;;20.03.2024;Anne Anthony</t>
  </si>
  <si>
    <t>red squirrel;Hungary;0.284;18;female;;47.505786;18.943124;;20.03.2024;Anne Anthony</t>
  </si>
  <si>
    <t>hedgehog;Czech Republic;0.5;13;male;;49.937455;14.180775;;20.03.2024;John Johnson</t>
  </si>
  <si>
    <t>lynx?;Slovakia;17;80;female;;48.407449;18.850762;;20.03.2024;John Johnson</t>
  </si>
  <si>
    <t>European bison;PL;302;150;female;;52.820447;23.813259;;21.03.2024;Anne Anthony</t>
  </si>
  <si>
    <t>hedgehog;Hungary;1.2;29;male;;48.503795;20.555932;;21.03.2024;Anne Anthony</t>
  </si>
  <si>
    <t>hedgehog;Poland;1.2;25;male;;52.214156;21.032500;;21.03.2024;Anne Anthony</t>
  </si>
  <si>
    <t>lynx;Poland;171;75;male;;52.831229;23.814123;;21.03.2024;Anne Anthony</t>
  </si>
  <si>
    <t>lynx;Poland;18;73;female;;52.832726;23.825032;;21.03.2024;Anne Anthony</t>
  </si>
  <si>
    <t>red squirrel;Poland;0.33;23;male;;50.041479;19.951211;;21.03.2024;Anne Anthony</t>
  </si>
  <si>
    <t>red squirrel;Poland;;;male;;50.041154;19.949919;;21.03.2024;Anne Anthony</t>
  </si>
  <si>
    <t>red squirrel;Hungary;0.315;19;male;;47.506414;18.941655;;21.03.2024;Anne Anthony</t>
  </si>
  <si>
    <t>hedgehog;Austria;0.8;24;male;;47.781236;14.382219;;21.03.2024;Bob Bobson</t>
  </si>
  <si>
    <t>hedgehog;Australia;0.6;14;female;;47.781248;14.382649;;21.03.2024;Bob Bobson</t>
  </si>
  <si>
    <t>hedgehog;DE;1.1;21;male;;52.585628;13.149093;Bob Bobson;21.03.2024;Bob Bobson</t>
  </si>
  <si>
    <t>hedgehog;Germany;1.1;22;female;;52.583290;13.149155;Bob Bobson;21.03.2024;Bob Bobson</t>
  </si>
  <si>
    <t>lynx;Austria;20;74;female;;47.781106;14.382184;;21.03.2024;Bob Bobson</t>
  </si>
  <si>
    <t>red squirrel;Germany;0.323;20;male;;52.581896;13.151801;Bob Bobson;21.03.2024;Bob Bobson</t>
  </si>
  <si>
    <t>red squirrel;DE;0.276;21;female;;52.581885;13.152811;Bob Bobson;21.03.2024;Bob Bobson</t>
  </si>
  <si>
    <t>red squirrel;Germany;0.339;21;male;;52.587248;13.151499;Bob Bobson;21.03.2024;Bob Bobson</t>
  </si>
  <si>
    <t>red squirrell;Germany;0.34;19;female;;52.582370;13.146855;Bob Bobson;21.03.2024;Bob Bobson</t>
  </si>
  <si>
    <t>European bison;CZ;750;242;male;;50.638137;14.838129;;21.03.2024;John Johnson</t>
  </si>
  <si>
    <t>European bison;Czech Republic;35;110;male;;50.640733;14.845160;;21.03.2024;John Johnson</t>
  </si>
  <si>
    <t>European buster;Czech Republic;360;175;female;;50.636642;14.847946;;21.03.2024;John Johnson</t>
  </si>
  <si>
    <t>hedgehog;Czech Republic;1.1;18;female;;49.939474;14.180897;;21.03.2024;John Johnson</t>
  </si>
  <si>
    <t>red squirrel;Czech;0.335;20;male;;49.938958;14.181258;;21.03.2024;John Johnson</t>
  </si>
  <si>
    <t>red squirrel;Slovakia;0.273;23;male;;48.185898;17.090683;;21.03.2024;John Johnson</t>
  </si>
  <si>
    <t>red squirrel;Slovakia;0.33;19;male;;48.186672;17.091508;;21.03.2024;John Johnson</t>
  </si>
  <si>
    <t>red squirrel;Slovakia;0.329;19;female;;48.186850;17.091228;;21.03.2024;John Johnson</t>
  </si>
  <si>
    <t>European bison;Poland;1000;320;male;;52.825470;23.813070;Klucha;22.03.2024;Anne Anthony</t>
  </si>
  <si>
    <t>hedgehog;Hungary;1.1;18;male;;48.503062;20.551698;;22.03.2024;Anne Anthony</t>
  </si>
  <si>
    <t>red squirrel;DE;0.306;23;male;;52.584352;13.148089;Bob Bobson;22.03.2024;Bob Bobson</t>
  </si>
  <si>
    <t>red squirrel;Germany;0.334;19;male;;52.587863;13.147785;Bob Bobson;22.03.2024;Bob Bobson</t>
  </si>
  <si>
    <t>red squirrel;Germany;0.334;21;male;;52.587734;13.151378;Bob Bobson;22.03.2024;Bob Bobson</t>
  </si>
  <si>
    <t>red squirrel;Germany;0.329;19;female;;52.582754;13.145364;Bob Bobson;22.03.2024;Bob Bobson</t>
  </si>
  <si>
    <t>red squirrel;Germany;0.317;22;male;;52.585517;13.150878;Bob Bobson;22.03.2024;Bob Bobson</t>
  </si>
  <si>
    <t>red squirrel;Germany;0.267;21;female;;52.588834;13.151920;Bob Bobson;22.03.2024;Bob Bobson</t>
  </si>
  <si>
    <t>European bison;CC;603;291;male;;50.644813;14.839817;;22.03.2024;John Johnson</t>
  </si>
  <si>
    <t>European bison;CC;717;305;male;;50.635565;14.839320;;22.03.2024;John Johnson</t>
  </si>
  <si>
    <t>European bison™;Czech Republic;390;145;female;;50.639856;14.847626;;22.03.2024;John Johnson</t>
  </si>
  <si>
    <t>hedgehog;Czech Republic;0.6;21;female;;49.939062;14.17875;;22.03.2024;John Johnson</t>
  </si>
  <si>
    <t>hedgehog;CZ;1.1;21;male;;49.939165;14.182528;;22.03.2024;John Johnson</t>
  </si>
  <si>
    <t>hedgehog;Czech Republic;0.7;18;female;;49.937562;14.181101;;22.03.2024;John Johnson</t>
  </si>
  <si>
    <t>hedgehog;Czech Republic;1.2;23;male;;49.939201;14.178923;;22.03.2024;John Johnson</t>
  </si>
  <si>
    <t>lynx;Slovakia;25;96;female;;48.410693;18.832845;;22.03.2024;John Johnson</t>
  </si>
  <si>
    <t>European bison;Poland;660;246;female;;52.824079;23.812790;;23.03.2024;Anne Anthony</t>
  </si>
  <si>
    <t>European bison;Poland;619;248;female;;52.826081;23.815823;;23.03.2024;Anne Anthony</t>
  </si>
  <si>
    <t>hedgehog;HU;0.6;19;female;;48.503498;20.539662;;23.03.2024;Anne Anthony</t>
  </si>
  <si>
    <t>hedgehog;Hungary;0.8;25;male;;48.509298;20.551977;;23.03.2024;Anne Anthony</t>
  </si>
  <si>
    <t>hedgehog;Hungary;0.4;15;female;;48.506206;20.565308;;23.03.2024;Anne Anthony</t>
  </si>
  <si>
    <t>hedgehog;Hungary;1.1;22;male;;48.505090;20.539448;;23.03.2024;Anne Anthony</t>
  </si>
  <si>
    <t>hedgehog;Poland;0.8;20;female;;52.215039;21.032591;;23.03.2024;Anne Anthony</t>
  </si>
  <si>
    <t>hedgehog;Poland;0.5;19;female;;52.215085;21.034198;;23.03.2024;Anne Anthony</t>
  </si>
  <si>
    <t>red squirrel;Poland;0.348;20;female;;50.041860;19.950192;;23.03.2024;Anne Anthony</t>
  </si>
  <si>
    <t>red squirrel;Hungary;0.301;18;male;;47.510260;18.947838;;23.03.2024;Anne Anthony</t>
  </si>
  <si>
    <t>hedgehog;Czech Republic;0.7;20;female;;49.937454;14.182121;;23.03.2024;John Johnson</t>
  </si>
  <si>
    <t>hedgehog;Czech Republic;1;21;female;;49.937788;14.180368;;23.03.2024;John Johnson</t>
  </si>
  <si>
    <t>red squirrel;PL;0.286;20;female;;50.041130;19.949698;;24.03.2024;Anne Anthony</t>
  </si>
  <si>
    <t>red squirrel;Poland;0.282;21;female;;50.041522;19.950563;Zuzia;24.03.2024;Anne Anthony</t>
  </si>
  <si>
    <t>hedgehog;Austria;0.8;18;male;;47.781882;14.384802;;24.03.2024;Bob Bobson</t>
  </si>
  <si>
    <t>hedgehog;Austria;0.6;19;male;;47.781019;14.385089;;24.03.2024;Bob Bobson</t>
  </si>
  <si>
    <t>hedgehog;Austria;0.5;20;male;;47.319782;11.190836;;24.03.2024;Bob Bobson</t>
  </si>
  <si>
    <t>hedgehog;Austria;0.6;16;female;;47.320020;11.185570;;24.03.2024;Bob Bobson</t>
  </si>
  <si>
    <t>hedgehog;Austria;0.6;20;male;;47.318793;11.185855;;24.03.2024;Bob Bobson</t>
  </si>
  <si>
    <t>hedgehog;Austria;1.1;23;female;;47.316963;11.188761;;24.03.2024;Bob Bobson</t>
  </si>
  <si>
    <t>hedgehog;DE;0.8;16;male;;52.582072;13.149185;;24.03.2024;Bob Bobson</t>
  </si>
  <si>
    <t>hedgehog;Germany;1.2;23;male;;52.585720;13.148613;;24.03.2024;Bob Bobson</t>
  </si>
  <si>
    <t>hedgehog;Germany;0.7;19;female;;52.587827;13.148164;;24.03.2024;Bob Bobson</t>
  </si>
  <si>
    <t>hedgehog;Germany;0.9;151;female;;52.583004;13.150686;;24.03.2024;Bob Bobson</t>
  </si>
  <si>
    <t>hedgehog;Germany;1.2;22;male;;52.587058;13.149675;;24.03.2024;Bob Bobson</t>
  </si>
  <si>
    <t>hedgehog;Germany;0.7;16;female;;52.587539;13.146575;;24.03.2024;Bob Bobson</t>
  </si>
  <si>
    <t>hedgehog;Germany;0.6;25;male;;52.587183;13.146661;;24.03.2024;Bob Bobson</t>
  </si>
  <si>
    <t>hedgehog;Germany;1;24;male;;52.586487;13.150015;;24.03.2024;Bob Bobson</t>
  </si>
  <si>
    <t>red squirrel;Germany;0.313;23;female;;52.588779;13.147948;;24.03.2024;Bob Bobson</t>
  </si>
  <si>
    <t>red squirrel;Germany;0.268;21;male;;52.587089;13.151807;;24.03.2024;Bob Bobson</t>
  </si>
  <si>
    <t>red squirrel;Austria;0.323;21;male;;47.781847;14.386835;;24.03.2024;Bob Bobson</t>
  </si>
  <si>
    <t>red squirrel;Austria;0.272;20;female;;47.781296;14.383799;;24.03.2024;Bob Bobson</t>
  </si>
  <si>
    <t>red squirrel;Austria;0.34;20;male;;47.781538;14.384561;;24.03.2024;Bob Bobson</t>
  </si>
  <si>
    <t>red squirrel;Austria;0.332;18;female;;47.781345;14.382936;;24.03.2024;Bob Bobson</t>
  </si>
  <si>
    <t>red squirrell;Germany;0.286;19;female;;52.582658;13.148057;;24.03.2024;Bob Bobson</t>
  </si>
  <si>
    <t>hedgehog;Czech Republic;0.8;18;male;;49.938688;14.179603;;24.03.2024;John Johnson</t>
  </si>
  <si>
    <t>red squirrel;Czech Republic;0.336;22;female;;49.939212;14.180839;;24.03.2024;John Johnson</t>
  </si>
  <si>
    <t>red squirrel;Slovakia;0.2;14;female;;48.186611;17.090271;;24.03.2024;John Johnson</t>
  </si>
  <si>
    <t>hedgehog;Poland;0.9;22;female;;52.214494;21.033154;;25.03.2024;Anne Anthony</t>
  </si>
  <si>
    <t>hedgehog;Poland;1;21;male;;52.214419;21.033441;;25.03.2024;Anne Anthony</t>
  </si>
  <si>
    <t>hedgehog;CZ;0.4;12;female;;49.937893;14.18083;;25.03.2024;John Johnson</t>
  </si>
  <si>
    <t>red squirrel;Czech Republic;0.336;23;male;;49.939262;14.179613;;25.03.2024;John Johnson</t>
  </si>
  <si>
    <t>red squirrel;Slovakia;0.254;18;male;;48.239854;17.086693;;25.03.2024;John Johnson</t>
  </si>
  <si>
    <t>red squirrel;Slovakia;0.294;23;male;;48.226680;17.081529;;25.03.2024;John Johnson</t>
  </si>
  <si>
    <t>red squirrel;Slovakia;0.265;22;female;;48.238620;17.074393;;25.03.2024;John Johnson</t>
  </si>
  <si>
    <t>European bison;Poland;823;305;male;;52.824290;23.813465;;26.03.2024;Anne Anthony</t>
  </si>
  <si>
    <t>European bison;Poland;594;243;male;;52.825554;23.812594;;26.03.2024;Anne Anthony</t>
  </si>
  <si>
    <t>red squirrel;Poland;0.31;24;male;;50.041235;19.951284;;26.03.2024;Anne Anthony</t>
  </si>
  <si>
    <t>red squirrel;Hungary;-0.251;20;female;;47.508618;18.944915;;26.03.2024;Anne Anthony</t>
  </si>
  <si>
    <t>hedgehog;Czech Republic;0.7;16;male;;49.939150;14.179388;;26.03.2024;John Johnson</t>
  </si>
  <si>
    <t>hedgehog;Czech Republic;0.6;17;female;;49.938346;14.18024;;26.03.2024;John Johnson</t>
  </si>
  <si>
    <t>hedgehog;Poland;1.1;20;female;;52.214766;21.030532;;27.03.2024;Anne Anthony</t>
  </si>
  <si>
    <t>red squirrel;Poland;0.336;19;male;;50.041489;19.950768;Lolek;27.03.2024;Anne Anthony</t>
  </si>
  <si>
    <t>hedgehog;Germany;0.7;23;female;;52.587532;13.152361;;27.03.2024;Bob Bobson</t>
  </si>
  <si>
    <t>hedgehog;DE;0.7;17;male;;48.161584;11.494938;;27.03.2024;Bob Bobson</t>
  </si>
  <si>
    <t>hedgehog;Germany;0.9;18;female;;48.160459;11.493142;;27.03.2024;Bob Bobson</t>
  </si>
  <si>
    <t>hedgehog;Germany;0.5;20;male;;48.160834;11.489874;;27.03.2024;Bob Bobson</t>
  </si>
  <si>
    <t>hedgehog;Czech Republic;0.5;16;male;;49.938845;14.182246;;27.03.2024;John Johnson</t>
  </si>
  <si>
    <t>hedgehog;Czech Republic;0.8;17;female;;49.938959;14.180078;;27.03.2024;John Johnson</t>
  </si>
  <si>
    <t>red squirrel;CZ;0.277;22;male;;49.939097;14.179435;;27.03.2024;John Johnson</t>
  </si>
  <si>
    <t>red squirrel;Slovakia;0.321;18;female;;48.226708;17.087853;;27.03.2024;John Johnson</t>
  </si>
  <si>
    <t>red squirrell;Czech Republic;0.271;19;female;;49.938523;14.18244;;27.03.2024;John Johnson</t>
  </si>
  <si>
    <t>European bison;Poland;510;222;female;;52.807537;23.700909;;28.03.2024;Anne Anthony</t>
  </si>
  <si>
    <t>red squirrel;Poland;0.328;23;female;;50.041504;19.950218;;28.03.2024;Anne Anthony</t>
  </si>
  <si>
    <t>red squirrel;Poland;0.278;23;female;;50.041119;19.949730;;28.03.2024;Anne Anthony</t>
  </si>
  <si>
    <t>hedgehog;Czech Republic;0.6;18;female;;49.937805;14.179716;;28.03.2024;John Johnson</t>
  </si>
  <si>
    <t>hedgehog;Czech Republic;0.7;15;female;;49.939330;14.177877;;28.03.2024;John Johnson</t>
  </si>
  <si>
    <t>red squirrel;Hungary;0.273;23;female;;47.507157;18.940379;;29.03.2024;Anne Anthony</t>
  </si>
  <si>
    <t>red squirrel;Austria;0.336;20;female;;47.780752;14.383452;Bibi;29.03.2024;Bob Bobson</t>
  </si>
  <si>
    <t>red squirrel;Austria;0.29;19;male;;47.781078;14.384559;;29.03.2024;Bob Bobson</t>
  </si>
  <si>
    <t>red squirrell;Austria;0.337;22;male;;47.781088;14.385534;;29.03.2024;Bob Bobson</t>
  </si>
  <si>
    <t>hedgehog;Slovakia;0.7;16;male;;48.409138;18.863577;;29.03.2024;John Johnson</t>
  </si>
  <si>
    <t>lynx;Slovakia;16;62;female;;48.409448;18.845591;;29.03.2024;John Johnson</t>
  </si>
  <si>
    <t>red squirrel;Poland;0.289;24;male;;50.041382;19.949403;;30.03.2024;Anne Anthony</t>
  </si>
  <si>
    <t>hedgehog;Germany;1.1;25;male;;48.160773;11.493680;;30.03.2024;Bob Bobson</t>
  </si>
  <si>
    <t>hedgehog;Germany;0.6;15;female;;48.160813;11.492539;;30.03.2024;Bob Bobson</t>
  </si>
  <si>
    <t>hedgehog;Germany;0.5;20;female;;48.161605;11.491150;;30.03.2024;Bob Bobson</t>
  </si>
  <si>
    <t>hedgehog;Germany;0.7;20;male;;48.162593;11.491872;;30.03.2024;Bob Bobson</t>
  </si>
  <si>
    <t>hedgehog;Germany;0.6;15;female;;48.161420;11.495056;;30.03.2024;Bob Bobson</t>
  </si>
  <si>
    <t>hedgehog;Germany;0.5;16;female;;48.162549;11.492991;;30.03.2024;Bob Bobson</t>
  </si>
  <si>
    <t>hedgehog;Germany;0.9;19;male;;48.161646;11.493511;;30.03.2024;Bob Bobson</t>
  </si>
  <si>
    <t>lynx;Slovakia;21;85;male;;48.405213;18.840850;;30.03.2024;John Johnson</t>
  </si>
  <si>
    <t>red squirrel;Czech Republic;0.288;18;male;;49.939000;14.182239;;30.03.2024;John Johnson</t>
  </si>
  <si>
    <t>red squirrel;Slovakia;0.287;21;male;;48.224897;17.085979;;30.03.2024;John Johnson</t>
  </si>
  <si>
    <t>red squirrel;Slovakia;0.286;18;male;;48.228961;17.076478;;30.03.2024;John Johnson</t>
  </si>
  <si>
    <t>European bison;Poland;970;307;male;;52.805402;23.691244;;31.03.2024;Anne Anthony</t>
  </si>
  <si>
    <t>red squirrel;Poland;0.323;20;female;;50.041366;19.949444;;31.03.2024;Anne Anthony</t>
  </si>
  <si>
    <t>red squirrel;Hungary;-0.25;19;female;;47.509538;18.945968;;31.03.2024;Anne Anthony</t>
  </si>
  <si>
    <t>hedgehog;Slovakia;0.9;19;female;;48.407464;18.874060;;31.03.2024;John Johnson</t>
  </si>
  <si>
    <t>lynx;Slovakia;20;78;female;;48.409790;18.870341;;31.03.2024;John Johnson</t>
  </si>
  <si>
    <t>European bison;Poland;459;212;female;;52.807403;23.683044;;01.04.2024;Anne Anthony</t>
  </si>
  <si>
    <t>European bison;Poland;705;280;female;;52.803733;23.686928;;01.04.2024;Anne Anthony</t>
  </si>
  <si>
    <t>red squirrel;Poland;0.323;19;female;;50.041804;19.951361;;01.04.2024;Anne Anthony</t>
  </si>
  <si>
    <t>red squirrel;Hungary;0.337;18;female;;47.511558;18.942454;;01.04.2024;Anne Anthony</t>
  </si>
  <si>
    <t>hedgehog;Slovakia;1.1;22;male;;48.409754;18.870477;;01.04.2024;John Johnson</t>
  </si>
  <si>
    <t>lynx;Czech Republic;26;81;female;;50.884012;14.370554;;01.04.2024;John Johnson</t>
  </si>
  <si>
    <t>red squirrel;Czech Republic;0.283;22;female;;49.939191;14.180256;;01.04.2024;John Johnson</t>
  </si>
  <si>
    <t>red squirrel;Slovakia;0.26;22;female;;48.231230;17.090253;;01.04.2024;John Johnson</t>
  </si>
  <si>
    <t>hedgehog;Hungary;0.6;20;female;;48.504425;20.548744;;02.04.2024;Anne Anthony</t>
  </si>
  <si>
    <t>lynx;Poland;22;101;male;;52.824599;23.816842;;02.04.2024;Anne Anthony</t>
  </si>
  <si>
    <t>red squirrel;Poland;0.294;19;male;;50.041131;19.949543;;02.04.2024;Anne Anthony</t>
  </si>
  <si>
    <t>red squirrel;Poland;;;male;;50.041552;19.949984;;02.04.2024;Anne Anthony</t>
  </si>
  <si>
    <t>red squirrel;Poland;0.312;23;female;;50.041945;19.949320;Lola;02.04.2024;Anne Anthony</t>
  </si>
  <si>
    <t>red squirrel;Poland;0.29;24;male;;50.041925;19.950894;;02.04.2024;Anne Anthony</t>
  </si>
  <si>
    <t>red squirrel;Hungary;0.258;21;female;;47.511582;18.942341;;02.04.2024;Anne Anthony</t>
  </si>
  <si>
    <t>hedgehog;Austria;0.8;15;female;;47.319091;11.188058;;02.04.2024;Bob Bobson</t>
  </si>
  <si>
    <t>hedgehog;Germany;0.8;18;male;;48.161892;11.493888;;02.04.2024;Bob Bobson</t>
  </si>
  <si>
    <t>hedgehog;Germany;0.6;15;female;;48.161218;11.494677;;02.04.2024;Bob Bobson</t>
  </si>
  <si>
    <t>hedgehog;Germany;0.8;23;male;;48.161452;11.495239;;02.04.2024;Bob Bobson</t>
  </si>
  <si>
    <t>hedgehog;Germany;0.6;16;female;;48.160915;11.489927;;02.04.2024;Bob Bobson</t>
  </si>
  <si>
    <t>hedgehog;Germany;0.7;19;male;;48.162169;11.495473;;02.04.2024;Bob Bobson</t>
  </si>
  <si>
    <t>hedgehog;Germany;1;25;female;;49.546290;11.085729;;02.04.2024;Bob Bobson</t>
  </si>
  <si>
    <t>hedgehog;Germany;1.1;23;male;;49.559558;11.081150;;02.04.2024;Bob Bobson</t>
  </si>
  <si>
    <t>red squirrel;Austria;0.273;19;female;;47.781613;14.385153;;02.04.2024;Bob Bobson</t>
  </si>
  <si>
    <t>red squirrel;Austria;0.33;18;female;;47.781637;14.385383;;02.04.2024;Bob Bobson</t>
  </si>
  <si>
    <t>red squirrel;Austria;0.262;18;female;;47.781838;14.382938;;02.04.2024;Bob Bobson</t>
  </si>
  <si>
    <t>red squirrel;Austria;0.31;19;female;;47.780925;14.383695;;02.04.2024;Bob Bobson</t>
  </si>
  <si>
    <t>red squirrel;Austria;0.334;21;female;;47.781449;14.383421;;02.04.2024;Bob Bobson</t>
  </si>
  <si>
    <t>red squirrel;Austria;0.27;20;female;;47.781800;14.383699;;02.04.2024;Bob Bobson</t>
  </si>
  <si>
    <t>red squirrel;Austria;0.277;18;male;;47.781073;14.383506;;02.04.2024;Bob Bobson</t>
  </si>
  <si>
    <t>red squirrel;Germany;0.258;19;male;;48.162251;11.494811;;02.04.2024;Bob Bobson</t>
  </si>
  <si>
    <t>red squirrel;Germany;0.256;16;female;;48.160432;11.494472;;02.04.2024;Bob Bobson</t>
  </si>
  <si>
    <t>red squirrel;Germany;0.317;21;female;;48.162563;11.495277;;02.04.2024;Bob Bobson</t>
  </si>
  <si>
    <t>red squirrel;Germany;0.266;18;female;;48.161906;11.490434;;02.04.2024;Bob Bobson</t>
  </si>
  <si>
    <t>red squirrel;Germany;0.283;21;male;;49.562324;11.092212;;02.04.2024;Bob Bobson</t>
  </si>
  <si>
    <t>red squirrel;Germany;0.305;18;female;;49.561973;11.086554;;02.04.2024;Bob Bobson</t>
  </si>
  <si>
    <t>red squirrell;Austria;0.282;18;male;;47.781755;14.385083;;02.04.2024;Bob Bobson</t>
  </si>
  <si>
    <t>red squirrell;Germany;0.318;18;male;;49.557527;11.089447;;02.04.2024;Bob Bobson</t>
  </si>
  <si>
    <t>lynx;Slovakia;27;94;female;;48.411163;18.864362;;02.04.2024;John Johnson</t>
  </si>
  <si>
    <t>red squirrel;Slovakia;0.339;20;male;;48.410771;18.865888;;02.04.2024;John Johnson</t>
  </si>
  <si>
    <t>red squirrel;Slovakia;0.302;19;male;;48.410201;18.862513;;02.04.2024;John Johnson</t>
  </si>
  <si>
    <t>red squirrel;Slovakia;0.276;19;male;;48.408111;18.865646;;02.04.2024;John Johnson</t>
  </si>
  <si>
    <t>red squirrel;Slovakia;0.252;19;female;;48.410932;18.861704;;02.04.2024;John Johnson</t>
  </si>
  <si>
    <t>red squirrel;Slovakia;0.293;19;male;;48.227614;17.072903;;02.04.2024;John Johnson</t>
  </si>
  <si>
    <t>red squirrel;Hungary;0.286;18;male;;47.508260;18.948349;;03.04.2024;Anne Anthony</t>
  </si>
  <si>
    <t>hedgehog;Germany;1.2;22;male;;49.551211;11.077661;;03.04.2024;Bob Bobson</t>
  </si>
  <si>
    <t>hedgehog;Germany;0.9;23;female;;49.562583;11.082312;;03.04.2024;Bob Bobson</t>
  </si>
  <si>
    <t>hedgehog;Germany;0.7;23;female;;49.547597;11.079679;;03.04.2024;Bob Bobson</t>
  </si>
  <si>
    <t>;;;;;;;;;03.04.2024;James Johnson</t>
  </si>
  <si>
    <t>hedgehog;Slovakia;1.2;26;male;;48.409120;18.869274;;03.04.2024;John Johnson</t>
  </si>
  <si>
    <t>red squirrel;Czech Republic;0.258;21;female;;49.938787;14.178284;;03.04.2024;John Johnson</t>
  </si>
  <si>
    <t>European bison;Poland;1000;295;male;;52.809543;23.708564;;04.04.2024;Anne Anthony</t>
  </si>
  <si>
    <t>hedgehog;Hungary;0.7;23;female;;47.508516;18.949429;;04.04.2024;Anne Anthony</t>
  </si>
  <si>
    <t>hedgehog;Hungary;1.2;24;male;;47.508941;18.948915;;04.04.2024;Anne Anthony</t>
  </si>
  <si>
    <t>red squirrel;Poland;0.337;22;female;;50.041819;19.951542;;04.04.2024;Anne Anthony</t>
  </si>
  <si>
    <t>red squirrel;Poland;0.272;23;female;;50.041800;19.950244;;04.04.2024;Anne Anthony</t>
  </si>
  <si>
    <t>red squirrel;Hungary;0.262;22;male;;47.508905;18.94657;;04.04.2024;Anne Anthony</t>
  </si>
  <si>
    <t>European bison;Poland;557;255;female;;52.811204;23.697814;;05.04.2024;Anne Anthony</t>
  </si>
  <si>
    <t>hedgehog;Hungary;0.8;17;female;;47.507073;18.947873;;05.04.2024;Anne Anthony</t>
  </si>
  <si>
    <t>hedgehog;Austria;0.9;22;female;;47.317580;11.187606;;05.04.2024;Bob Bobson</t>
  </si>
  <si>
    <t>hedgehog;Austria;0.8;16;male;;47.319470;11.185730;;05.04.2024;Bob Bobson</t>
  </si>
  <si>
    <t>hedgehog;Austria;0.7;18;male;;47.319812;11.184790;;05.04.2024;Bob Bobson</t>
  </si>
  <si>
    <t>hedgehog;Austria;0.8;20;female;;47.316383;11.188381;;05.04.2024;Bob Bobson</t>
  </si>
  <si>
    <t>red squirrel;Austria;0.299;20;female;;47.781131;14.382207;;05.04.2024;Bob Bobson</t>
  </si>
  <si>
    <t>red squirrel;Australia;0.266;20;female;;47.781632;14.382365;;05.04.2024;Bob Bobson</t>
  </si>
  <si>
    <t>red squirrel;Austria;0.308;18;male;;47.780904;14.385669;;05.04.2024;Bob Bobson</t>
  </si>
  <si>
    <t>red squirrel;Austria;0.264;22;male;;47.781089;14.385211;;05.04.2024;Bob Bobson</t>
  </si>
  <si>
    <t>red squirrel;Austria;0.322;20;male;;47.781333;14.382547;;05.04.2024;Bob Bobson</t>
  </si>
  <si>
    <t>red squirrel;Austria;0.332;18;female;;47.780927;14.382188;;05.04.2024;Bob Bobson</t>
  </si>
  <si>
    <t>red squirrel;Austria;0.253;21;male;;47.856032;15.076768;;05.04.2024;Bob Bobson</t>
  </si>
  <si>
    <t>red squirrel;Germany;0.317;20;female;;49.545913;11.081051;;05.04.2024;Bob Bobson</t>
  </si>
  <si>
    <t>red squirrel;Germany;0.327;20;male;;49.550428;11.077659;;05.04.2024;Bob Bobson</t>
  </si>
  <si>
    <t>red squirrel;Germany;0.255;19;female;;49.558869;11.076638;;05.04.2024;Bob Bobson</t>
  </si>
  <si>
    <t>hedgehog;Slovakia;0.8;21;female;;48.412408;18.869074;;05.04.2024;John Johnson</t>
  </si>
  <si>
    <t>lynx;Czech Republic;15;70;male;;50.883894;14.372364;;05.04.2024;John Johnson</t>
  </si>
  <si>
    <t>red squirrel;Slovakia;0.3;19;female;;48.229837;17.089218;;05.04.2024;John Johnson</t>
  </si>
  <si>
    <t>European buster;Poland;589;279;female;;52.808704;23.705504;;06.04.2024;Anne Anthony</t>
  </si>
  <si>
    <t>hedgehog;HU;0.7;16;female;;47.510231;18.940042;;06.04.2024;Anne Anthony</t>
  </si>
  <si>
    <t>hedgehog;Hungary;0.8;14;female;;47.509073;18.946838;;06.04.2024;Anne Anthony</t>
  </si>
  <si>
    <t>red squirrel;Poland;0.348;23;male;;50.041252;19.950033;;06.04.2024;Anne Anthony</t>
  </si>
  <si>
    <t>red squirrel;Austria;0.294;22;male;;47.855007;15.076539;;06.04.2024;Bob Bobson</t>
  </si>
  <si>
    <t>red squirrel;Germany;0.299;19;male;;;;;06.04.2024;Bob Bobson</t>
  </si>
  <si>
    <t>red squirrel;Germany;0.314;19;female;;;;;06.04.2024;Bob Bobson</t>
  </si>
  <si>
    <t>red squirrel;Germany;0.297;20;male;;;;;06.04.2024;Bob Bobson</t>
  </si>
  <si>
    <t>red squirrel;Germany;0.298;21;male;;;;;06.04.2024;Bob Bobson</t>
  </si>
  <si>
    <t>red squirrel;Germany;0.301;19;male;;;;;06.04.2024;Bob Bobson</t>
  </si>
  <si>
    <t>red squirrel;Germany;0.267;20;female;;;;;06.04.2024;Bob Bobson</t>
  </si>
  <si>
    <t>red squirrel;Germany;0.315;21;male;;;;;06.04.2024;Bob Bobson</t>
  </si>
  <si>
    <t>red squirrel;Germany;0.3;21;female;;;;;06.04.2024;Bob Bobson</t>
  </si>
  <si>
    <t>red squirrel;Germany;0.3;21;male;;;;;06.04.2024;Bob Bobson</t>
  </si>
  <si>
    <t>red squirrel;Germany;0.264;22;female;;;;;06.04.2024;Bob Bobson</t>
  </si>
  <si>
    <t>red squirrel;Germany;0.251;21;male;;;;;06.04.2024;Bob Bobson</t>
  </si>
  <si>
    <t>red squirrel;Germany;0.302;22;female;;;;;06.04.2024;Bob Bobson</t>
  </si>
  <si>
    <t>red squirrel;Germany;0.262;22;female;;;;;06.04.2024;Bob Bobson</t>
  </si>
  <si>
    <t>red squirrel;Germany;0.301;20;male;;;;;06.04.2024;Bob Bobson</t>
  </si>
  <si>
    <t>red squirrel;Germany;0.243;19;male;;;;;06.04.2024;Bob Bobson</t>
  </si>
  <si>
    <t>red squirrel;Germany;0.314;20;male;;;;;06.04.2024;Bob Bobson</t>
  </si>
  <si>
    <t>red squirrel;Germany;0.244;20;male;;;;;06.04.2024;Bob Bobson</t>
  </si>
  <si>
    <t>red squirrel;Germany;0.25;22;male;;;;;06.04.2024;Bob Bobson</t>
  </si>
  <si>
    <t>red squirrel;Germany;0.272;20;male;;;;;06.04.2024;Bob Bobson</t>
  </si>
  <si>
    <t>red squirrel;Germany;0.289;20;male;;;;;06.04.2024;Bob Bobson</t>
  </si>
  <si>
    <t>red squirrel;Germany;0.315;20;male;;;;;06.04.2024;Bob Bobson</t>
  </si>
  <si>
    <t>red squirrel;Germany;0.304;21;male;;;;;06.04.2024;Bob Bobson</t>
  </si>
  <si>
    <t>red squirrel;Germany;0.241;19;male;;;;;06.04.2024;Bob Bobson</t>
  </si>
  <si>
    <t>red squirrel;Germany;0.248;22;male;;;;;06.04.2024;Bob Bobson</t>
  </si>
  <si>
    <t>red squirrel;Germany;0.29;21;male;;;;;06.04.2024;Bob Bobson</t>
  </si>
  <si>
    <t>;Austria;0.319;20;male;;;;;06.04.2024;Bob Bobson</t>
  </si>
  <si>
    <t>;Austria;0.292;19;female;;;;;06.04.2024;Bob Bobson</t>
  </si>
  <si>
    <t>;Austria;0.319;19;female;;;;;06.04.2024;Bob Bobson</t>
  </si>
  <si>
    <t>;Austria;0.298;20;male;;;;;06.04.2024;Bob Bobson</t>
  </si>
  <si>
    <t>;Austria;0.255;22;male;;;;;06.04.2024;Bob Bobson</t>
  </si>
  <si>
    <t>;Austria;0.3;20;male;;;;;06.04.2024;Bob Bobson</t>
  </si>
  <si>
    <t>;Austria;0.252;21;male;;;;;06.04.2024;Bob Bobson</t>
  </si>
  <si>
    <t>hedgehog;Slovakia;0.8;17;male;;48.409645;18.872415;;06.04.2024;John Johnson</t>
  </si>
  <si>
    <t>lynx?;Czech Republic;26;88;female;;50.883881;14.373018;;06.04.2024;John Johnson</t>
  </si>
  <si>
    <t>red squirrel;Czech Republic;0.316;23;female;;49.939310;14.181266;;06.04.2024;John Johnson</t>
  </si>
  <si>
    <t>red squirrel;Czech Republic;0.327;21;male;;49.938616;14.181291;;06.04.2024;John Johnson</t>
  </si>
  <si>
    <t>red squirrel;Czech Republic;0.288;18;male;;49.937839;14.179075;;06.04.2024;John Johnson</t>
  </si>
  <si>
    <t>red squirrel;Czech Republic;0.313;22;female;;49.939308;14.180747;;06.04.2024;John Johnson</t>
  </si>
  <si>
    <t>European bison™;Poland;1100;350;male;;52.803316;23.686301;;07.04.2024;Anne Anthony</t>
  </si>
  <si>
    <t>hedgehog;Hungary;0.9;16;female;;47.506638;18.940091;;07.04.2024;Anne Anthony</t>
  </si>
  <si>
    <t>lynx;Poland;23;73;male;;52.823016;23.812286;;07.04.2024;Anne Anthony</t>
  </si>
  <si>
    <t>red squirrel;Hungary;0.319;18;male;;47.508665;18.940456;;07.04.2024;Anne Anthony</t>
  </si>
  <si>
    <t>red squirrell;Hungary;0.28;21;female;;47.510978;18.942963;;07.04.2024;Anne Anthony</t>
  </si>
  <si>
    <t>red squirrel;Austria;0.264;22;female;;47.857586;15.081328;;07.04.2024;Bob Bobson</t>
  </si>
  <si>
    <t>red squirrel;Austria;0.334;19;male;;47.856971;15.078984;;07.04.2024;Bob Bobson</t>
  </si>
  <si>
    <t>red squirrel;Austria;0.278;21;male;;47.856769;15.076411;;07.04.2024;Bob Bobson</t>
  </si>
  <si>
    <t>red squirrel;Austria;0.333;22;female;;47.855379;15.077237;Lola;07.04.2024;Bob Bobson</t>
  </si>
  <si>
    <t>red squirrel;Austria;0.323;23;male;;47.856015;15.08325;;07.04.2024;Bob Bobson</t>
  </si>
  <si>
    <t>hedgehog;Slovakia;1.1;16;female;;48.413154;18.875356;;07.04.2024;John Johnson</t>
  </si>
  <si>
    <t>red squirrel;PL;0.265;22;female;;50.041147;19.950460;;08.04.2024;Anne Anthony</t>
  </si>
  <si>
    <t>red squirrel;Austria;0.27;23;female;;47.853881;15.078367;;08.04.2024;Bob Bobson</t>
  </si>
  <si>
    <t>red squirrel;Austria;0.299;19;female;;47.854855;15.082168;Sissi;08.04.2024;Bob Bobson</t>
  </si>
  <si>
    <t>red squirrel;Austria;0.3;21;male;;47.855216;15.078877;;08.04.2024;Bob Bobson</t>
  </si>
  <si>
    <t>red squirrel;Austria;0.338;19;male;;47.857495;15.07895;;08.04.2024;Bob Bobson</t>
  </si>
  <si>
    <t>red squirrel;Austria;0.285;21;female;;47.853875;15.078745;;08.04.2024;Bob Bobson</t>
  </si>
  <si>
    <t>red squirrel;Austria;0.333;19;female;;47.854756;15.082892;Sissi;08.04.2024;Bob Bobson</t>
  </si>
  <si>
    <t>red squirrel;Austria;0.323;23;male;;47.854099;15.076812;;08.04.2024;Bob Bobson</t>
  </si>
  <si>
    <t>European bison;CC;560;250;female;;50.645077;14.840304;;08.04.2024;John Johnson</t>
  </si>
  <si>
    <t>hedgehog;Slovakia;1.1;25;male;;48.412590;18.873020;;08.04.2024;John Johnson</t>
  </si>
  <si>
    <t>red squirrel;Slovakia;-0.252;21;male;;49.057599;22.422203;;08.04.2024;John Johnson</t>
  </si>
  <si>
    <t>red squirrel;Slovakia;0.26;18;male;;49.053175;22.414666;;08.04.2024;John Johnson</t>
  </si>
  <si>
    <t>red squirrel;Slovakia;0.329;20;male;;49.054663;22.412082;;08.04.2024;John Johnson</t>
  </si>
  <si>
    <t>red squirrel;Slovakia;0.33;21;female;;49.055275;22.414210;;08.04.2024;John Johnson</t>
  </si>
  <si>
    <t>red squirrel;Slovakia;0.271;23;male;;49.052914;22.422990;;08.04.2024;John Johnson</t>
  </si>
  <si>
    <t>red squirrel;Slovakia;0.298;18;female;;49.055453;22.423536;;08.04.2024;John Johnson</t>
  </si>
  <si>
    <t>red squirrel;Slovakia;0.281;23;male;;49.056583;22.415432;;08.04.2024;John Johnson</t>
  </si>
  <si>
    <t>red squirrel;Slovakia;0.316;22;female;;49.054586;22.413680;;08.04.2024;John Johnson</t>
  </si>
  <si>
    <t>red squirrel;Slovakia;0.265;18;male;;49.056946;22.424916;;08.04.2024;John Johnson</t>
  </si>
  <si>
    <t>red squirrel;Poland;0.296;22;male;;50.041497;19.950657;;09.04.2024;Anne Anthony</t>
  </si>
  <si>
    <t>red squirrel;Hungary;0.257;20;female;;47.509375;18.939808;;09.04.2024;Anne Anthony</t>
  </si>
  <si>
    <t>red squirrel;Czech Republic;0.313;21;male;;49.937425;14.182723;;09.04.2024;John Johnson</t>
  </si>
  <si>
    <t>red squirrel;Czech Republic;0.282;19;female;;49.939072;14.180063;;09.04.2024;John Johnson</t>
  </si>
  <si>
    <t>European bison;PL;486;235;female;;52.809086;23.696425;;10.04.2024;Anne Anthony</t>
  </si>
  <si>
    <t>lynx;PL;22;78;male;;52.821625;23.818063;;10.04.2024;Anne Anthony</t>
  </si>
  <si>
    <t>hedgehog;Slovakia;1.2;26;male;;48.409469;18.861715;;10.04.2024;John Johnson</t>
  </si>
  <si>
    <t>red squirrel;Czech Republic;0.257;21;male;;50.107147;14.347009;;10.04.2024;John Johnson</t>
  </si>
  <si>
    <t>European bison;Poland;610;281;female;;52.810989;23.689137;;11.04.2024;Anne Anthony</t>
  </si>
  <si>
    <t>hedgehog;Hungary;0.8;17;female;;47.507081;18.939062;;11.04.2024;Anne Anthony</t>
  </si>
  <si>
    <t>red squirrel;Poland;0.325;20;female;;50.041347;19.950773;;11.04.2024;Anne Anthony</t>
  </si>
  <si>
    <t>red squirrel;Hungary;0.275;21;female;;47.506071;18.949311;;11.04.2024;Anne Anthony</t>
  </si>
  <si>
    <t>red squirrel;Hungary;0.285;20;male;;47.509655;18.943576;;11.04.2024;Anne Anthony</t>
  </si>
  <si>
    <t>red squirrel;Australia;0.31;23;male;;47.856092;15.083547;;11.04.2024;Bob Bobson</t>
  </si>
  <si>
    <t>red squirrel;Austria;0.256;19;male;;47.854876;15.08295;;11.04.2024;Bob Bobson</t>
  </si>
  <si>
    <t>red squirrel;Austria;0.285;23;male;;47.857535;15.078083;;11.04.2024;Bob Bobson</t>
  </si>
  <si>
    <t>red squirrel;Germany;0.303;19;female;;48.162437;11.494298;;11.04.2024;Bob Bobson</t>
  </si>
  <si>
    <t>red squirrel;Germany;0.273;19;male;;48.161106;11.48991;;11.04.2024;Bob Bobson</t>
  </si>
  <si>
    <t>red squirrel;Germany;0.267;22;female;;48.161385;11.492571;;11.04.2024;Bob Bobson</t>
  </si>
  <si>
    <t>red squirrel;Germany;0.258;20;female;;48.162137;11.494415;;11.04.2024;Bob Bobson</t>
  </si>
  <si>
    <t>red squirrel;Germany;0.296;18;male;;48.162162;11.493917;;11.04.2024;Bob Bobson</t>
  </si>
  <si>
    <t>lynx;Slovakia;22;88;male;;48.408550;18.864935;;11.04.2024;John Johnson</t>
  </si>
  <si>
    <t>red squirrel;Czech Republic;0.308;22;female;;50.106721;14.346231;;11.04.2024;John Johnson</t>
  </si>
  <si>
    <t>European bison;Poland;853;287;male;;52.803560;23.690378;;12.04.2024;Anne Anthony</t>
  </si>
  <si>
    <t>red squirrel;Germany;0.302;18;female;;48.160992;11.495374;;12.04.2024;Bob Bobson</t>
  </si>
  <si>
    <t>hedgehog;Slovakia;1;20;female;;48.408713;18.863829;;12.04.2024;John Johnson</t>
  </si>
  <si>
    <t>red squirrel;Czech Republic;0.325;21;female;;50.106483;14.348192;;12.04.2024;John Johnson</t>
  </si>
  <si>
    <t>hedgehog;HU;1.2;23;male;;47.511267;18.940191;;13.04.2024;Anne Anthony</t>
  </si>
  <si>
    <t>red squirrel;Poland;0.264;20;male;;50.041366;19.949936;;13.04.2024;Anne Anthony</t>
  </si>
  <si>
    <t>red squirrel;Poland;;;male;;50.041573;19.949850;;13.04.2024;Anne Anthony</t>
  </si>
  <si>
    <t>red squirrel;Poland;0.32;23;female;;50.041554;19.951130;;13.04.2024;Anne Anthony</t>
  </si>
  <si>
    <t>red squirrel;Poland;0.298;23;male;;52.211967;21.032924;;13.04.2024;Anne Anthony</t>
  </si>
  <si>
    <t>hedgehog;Slovakia;0.8;23;male;;48.412843;18.872614;;13.04.2024;John Johnson</t>
  </si>
  <si>
    <t>hedgehog;Slovakia;0.8;16;male;;48.407138;18.867247;;13.04.2024;John Johnson</t>
  </si>
  <si>
    <t>hedgehog;Hungary;0.4;17;female;;47.509261;18.949967;;14.04.2024;Anne Anthony</t>
  </si>
  <si>
    <t>lynx;Poland;20;90;female;;52.824608;23.817396;;14.04.2024;Anne Anthony</t>
  </si>
  <si>
    <t>red squirrel;Hungary;0.297;18;male;;47.506306;18.946099;;14.04.2024;Anne Anthony</t>
  </si>
  <si>
    <t>red squirrel;Hungary;0.308;20;female;;47.510068;18.947176;;14.04.2024;Anne Anthony</t>
  </si>
  <si>
    <t>red squirrel;Hungary;0.268;19;male;;47.511060;18.939832;;14.04.2024;Anne Anthony</t>
  </si>
  <si>
    <t>red squirrel;Germany;0.259;22;male;;48.160831;11.492403;;14.04.2024;Bob Bobson</t>
  </si>
  <si>
    <t>European bisson;Poland;700;286;male;;52.808503;23.69937;;15.04.2024;Anne Anthony</t>
  </si>
  <si>
    <t>hedgehog;Hungary;0.7;15;male;;47.511427;18.948714;;15.04.2024;Anne Anthony</t>
  </si>
  <si>
    <t>red squirrel;Poland;0.278;21;female;;52.211888;21.032350;;15.04.2024;Anne Anthony</t>
  </si>
  <si>
    <t>red squirrel;Germany;0.339;19;female;;48.161422;11.491813;;15.04.2024;Bob Bobson</t>
  </si>
  <si>
    <t>red squirrel;Germany;0.307;22;male;;48.160790;11.489549;;15.04.2024;Bob Bobson</t>
  </si>
  <si>
    <t>red squirrel;Germany;0.256;20;female;;48.161009;11.491557;;15.04.2024;Bob Bobson</t>
  </si>
  <si>
    <t>red squirrel;Germany;0.29;20;male;;48.160807;11.494219;;15.04.2024;Bob Bobson</t>
  </si>
  <si>
    <t>red squirrel;Germany;0.323;18;female;;48.161794;11.494325;;15.04.2024;Bob Bobson</t>
  </si>
  <si>
    <t>red squirrel;Germany;0.293;21;male;;48.161069;11.49303;;15.04.2024;Bob Bobson</t>
  </si>
  <si>
    <t>red squirrel;Germany;0.326;18;female;;48.160870;11.49027;;15.04.2024;Bob Bobson</t>
  </si>
  <si>
    <t>red squirrel;Germany;0.266;21;female;;48.160560;11.490806;;15.04.2024;Bob Bobson</t>
  </si>
  <si>
    <t>hedgehog;Slovakia;0.5;18;female;;48.409909;18.867006;;15.04.2024;John Johnson</t>
  </si>
  <si>
    <t>red squirrel;Czech Republic;0.317;19;male;;50.106373;14.347574;;15.04.2024;John Johnson</t>
  </si>
  <si>
    <t>hedgehog;Hungary;0.5;19;female;;47.506430;18.947912;;16.04.2024;Anne Anthony</t>
  </si>
  <si>
    <t>hedgehog;Hungary;0.6;15;male;;47.506663;18.940320;;16.04.2024;Anne Anthony</t>
  </si>
  <si>
    <t>red squirrel;Hungary;0.254;20;female;;47.508169;18.947418;;16.04.2024;Anne Anthony</t>
  </si>
  <si>
    <t>red squirrel;Germany;0.313;19;male;;48.161902;11.49458;;16.04.2024;Bob Bobson</t>
  </si>
  <si>
    <t>red squirrel;Germany;0.2;14;male;;49.554765;11.0922;;16.04.2024;Bob Bobson</t>
  </si>
  <si>
    <t>red squirrel;Germany;0.278;18;female;;49.558466;11.096048;;16.04.2024;Bob Bobson</t>
  </si>
  <si>
    <t>hedgehog;Slovakia;0.6;25;male;;48.407605;18.876341;;16.04.2024;John Johnson</t>
  </si>
  <si>
    <t>red squirrel;Poland;0.298;19;female;;52.212379;21.032913;;17.04.2024;Anne Anthony</t>
  </si>
  <si>
    <t>hedgehog;Germany;0.7;21;male;;49.556052;11.081501;;17.04.2024;Bob Bobson</t>
  </si>
  <si>
    <t>hedgehog;Germany;1.2;28;male;;49.551520;11.079537;;17.04.2024;Bob Bobson</t>
  </si>
  <si>
    <t>hedgehog;Germany;0.5;18;female;;49.553737;11.087705;;17.04.2024;Bob Bobson</t>
  </si>
  <si>
    <t>hedgehog;Germany;1;20;male;;49.560442;11.098395;;17.04.2024;Bob Bobson</t>
  </si>
  <si>
    <t>hedgehog;Germany;0.9;25;male;;49.560723;11.084667;;17.04.2024;Bob Bobson</t>
  </si>
  <si>
    <t>hedgehog;Germany;0.4;16;female;;49.558790;11.081218;;17.04.2024;Bob Bobson</t>
  </si>
  <si>
    <t>red squirrel;Germany;0.294;20;male;;49.545857;11.076254;;17.04.2024;Bob Bobson</t>
  </si>
  <si>
    <t>red squirrel;Germany;0.3;23;female;;49.554685;11.08345;;17.04.2024;Bob Bobson</t>
  </si>
  <si>
    <t>hedgehog;Slovakia;1.1;23;male;;48.186112;17.090491;;17.04.2024;John Johnson</t>
  </si>
  <si>
    <t>lynx;Slovakia;27;100;male;;48.411117;18.862265;;17.04.2024;John Johnson</t>
  </si>
  <si>
    <t>red squirrel;Czech Republic;0.283;22;female;;50.106413;14.348204;;17.04.2024;John Johnson</t>
  </si>
  <si>
    <t>red squirrel;Czech Republic;0.28;22;female;;50.107135;14.348206;;17.04.2024;John Johnson</t>
  </si>
  <si>
    <t>European bison;Poland;405;220;female;;52.804031;23.683032;;18.04.2024;Anne Anthony</t>
  </si>
  <si>
    <t>hedgehog;Germany;1;24;male;;49.561057;11.084334;;18.04.2024;Bob Bobson</t>
  </si>
  <si>
    <t>hedgehog;Germany;0.6;11;male;;49.557055;11.101996;;18.04.2024;Bob Bobson</t>
  </si>
  <si>
    <t>hedgehog;Germany;0.7;25;male;;49.554133;11.089674;;18.04.2024;Bob Bobson</t>
  </si>
  <si>
    <t>hedgehog;Germany;0.6;22;female;;49.561174;11.102216;;18.04.2024;Bob Bobson</t>
  </si>
  <si>
    <t>hedgehog;Germany;0.5;20;male;;49.563085;11.101392;;18.04.2024;Bob Bobson</t>
  </si>
  <si>
    <t>hedgehog;Germany;0.9;25;male;;49.551318;11.085475;;18.04.2024;Bob Bobson</t>
  </si>
  <si>
    <t>hedgehog;Germany;0.5;16;female;;49.556237;11.088639;;18.04.2024;Bob Bobson</t>
  </si>
  <si>
    <t>hedgehog;Germany;0.8;17;male;;49.545768;11.086386;;18.04.2024;Bob Bobson</t>
  </si>
  <si>
    <t>red squirrel;Czech Republic;0.326;23;male;;50.107313;14.348552;;18.04.2024;John Johnson</t>
  </si>
  <si>
    <t>European bison;Poland;662;244;female;;52.809106;23.680095;;19.04.2024;Anne Anthony</t>
  </si>
  <si>
    <t>red squirrel;Poland;0.341;23;male;;52.212042;21.033492;;19.04.2024;Anne Anthony</t>
  </si>
  <si>
    <t>hedgehog;Austria;0.6;17;female;;47.319579;11.186061;;19.04.2024;Bob Bobson</t>
  </si>
  <si>
    <t>hedgehog;Austria;0.9;25;male;;47.317974;11.187472;;19.04.2024;Bob Bobson</t>
  </si>
  <si>
    <t>hedgehog;Austria;1.1;22;male;;47.316562;11.191160;;19.04.2024;Bob Bobson</t>
  </si>
  <si>
    <t>hedgehog;Austria;1.2;24;male;;47.318191;11.189484;;19.04.2024;Bob Bobson</t>
  </si>
  <si>
    <t>European bison;CC;656;245;female;;50.643056;14.843037;;19.04.2024;John Johnson</t>
  </si>
  <si>
    <t>hedgehog;Slovakia;1.1;19;female;;48.187522;17.087251;;19.04.2024;John Johnson</t>
  </si>
  <si>
    <t>hedgehog;Slovakia;1.1;29;male;;48.185406;17.084535;;19.04.2024;John Johnson</t>
  </si>
  <si>
    <t>lynx;Czech Republic;12;52;male;;-78.582972;14.367993;;19.04.2024;John Johnson</t>
  </si>
  <si>
    <t>lynx;Slovakia;24;81;female;;48.408549;18.873960;;19.04.2024;John Johnson</t>
  </si>
  <si>
    <t>lynx?;Czech Republic;22;83;female;;50.882924;14.368207;;19.04.2024;John Johnson</t>
  </si>
  <si>
    <t>red squirrel;Poland;0.327;23;male;;52.212168;21.032304;;20.04.2024;Anne Anthony</t>
  </si>
  <si>
    <t>red squirrel;Poland;0.337;24;female;;52.211797;21.033750;Basia;20.04.2024;Anne Anthony</t>
  </si>
  <si>
    <t>red squirrel;Poland;0.318;24;male;;52.212470;21.033642;;20.04.2024;Anne Anthony</t>
  </si>
  <si>
    <t>red squirrel;Poland;0.33;23;male;;52.211872;21.032296;Puchatek;20.04.2024;Anne Anthony</t>
  </si>
  <si>
    <t>European bison;Poland;776;294;male;;52.805299;23.701093;;21.04.2024;Anne Anthony</t>
  </si>
  <si>
    <t>hedgehog;Slovakia;0.8;18;male;;48.186208;17.089749;;21.04.2024;John Johnson</t>
  </si>
  <si>
    <t>red squirrel;Poland;0.306;19;female;;52.212605;21.033877;;22.04.2024;Anne Anthony</t>
  </si>
  <si>
    <t>red squirrel;Poland;0.349;20;female;;52.212001;21.033903;;22.04.2024;Anne Anthony</t>
  </si>
  <si>
    <t>lynx;Czech Republic;23;78;male;;-78.582973;14.366824;;22.04.2024;John Johnson</t>
  </si>
  <si>
    <t>hedgehog;Slovakia;0.7;16;male;;48.184231;17.091694;;23.04.2024;John Johnson</t>
  </si>
  <si>
    <t>European bison;Poland;650;286;female;;52.812486;23.686231;;24.04.2024;Anne Anthony</t>
  </si>
  <si>
    <t>red squirrel;Poland;0.271;19;female;;52.211797;21.032857;;24.04.2024;Anne Anthony</t>
  </si>
  <si>
    <t>red squirrel;Poland;0.329;24;female;;52.212045;21.031986;;24.04.2024;Anne Anthony</t>
  </si>
  <si>
    <t>lynx;Austria;20;90;male;;47.781188;14.385356;;24.04.2024;Bob Bobson</t>
  </si>
  <si>
    <t>lynx;Austria;26;91;female;;47.780999;14.382120;;24.04.2024;Bob Bobson</t>
  </si>
  <si>
    <t>hedgehog;Slovakia;0.6;15;female;;48.185648;17.083763;;24.04.2024;John Johnson</t>
  </si>
  <si>
    <t>lynx;Poland;14;65;female;;52.851841;23.891580;;25.04.2024;Anne Anthony</t>
  </si>
  <si>
    <t>red squirrel;Poland;0.311;21;male;;52.212203;21.032279;;25.04.2024;Anne Anthony</t>
  </si>
  <si>
    <t>hedgehog;Slovakia;0.7;16;male;;48.185433;17.086216;;26.04.2024;John Johnson</t>
  </si>
  <si>
    <t>red squirrel;Poland;0.29;24;female;;52.212763;21.032786;;27.04.2024;Anne Anthony</t>
  </si>
  <si>
    <t>hedgehog;Slovakia;1.2;22;male;;48.186913;17.088174;;27.04.2024;John Johnson</t>
  </si>
  <si>
    <t>hedgehog;Slovakia;0.7;24;female;;48.185649;17.088834;;27.04.2024;John Johnson</t>
  </si>
  <si>
    <t>lynx;Poland;12;52;male;;52.848214;23.891978;;28.04.2024;Anne Anthony</t>
  </si>
  <si>
    <t>lynx;Poland;27;95;female;;52.853843;23.919668;;28.04.2024;Anne Anthony</t>
  </si>
  <si>
    <t>red squirrel;Poland;0.312;23;male;;52.212120;21.034268;;28.04.2024;Anne Anthony</t>
  </si>
  <si>
    <t>hedgehog;Germany;0.5;20;male;;49.553240;11.074008;;28.04.2024;Bob Bobson</t>
  </si>
  <si>
    <t>hedgehog;Germany;1.1;20;female;;49.551562;11.081737;;28.04.2024;Bob Bobson</t>
  </si>
  <si>
    <t>hedgehog;Germany;0.6;18;male;;49.547376;11.079529;;28.04.2024;Bob Bobson</t>
  </si>
  <si>
    <t>hedgehog;Germany;0.8;20;male;;49.560178;11.093259;;28.04.2024;Bob Bobson</t>
  </si>
  <si>
    <t>hedgehog;Germany;0.8;19;male;;49.558968;11.106642;;28.04.2024;Bob Bobson</t>
  </si>
  <si>
    <t>hedgehog;Slovakia;0.9;20;male;;48.186370;17.090384;;28.04.2024;John Johnson</t>
  </si>
  <si>
    <t>hedgehog;Hungary;0.6;16;female;;47.506035;18.944528;;29.04.2024;Anne Anthony</t>
  </si>
  <si>
    <t>red squirrel;Poland;0.27;21;female;;52.212390;21.034548;Basia;29.04.2024;Anne Anthony</t>
  </si>
  <si>
    <t>hedgehog;Slovakia;1.1;23;male;;48.183848;17.082806;;29.04.2024;John Johnson</t>
  </si>
  <si>
    <t>lynx;Slovakia;22;73;male;;48.410551;18.864866;;29.04.2024;John Johnson</t>
  </si>
  <si>
    <t>red squirrel;Poland;0.292;20;female;;52.212433;21.032496;;30.04.2024;Anne Anthony</t>
  </si>
  <si>
    <t>;;;;;;;;;03.05.2024;James Johnson</t>
  </si>
  <si>
    <t>red squirrel;Poland;0.305;19;female;;52.212746;21.033832;;09.05.2024;Anne Anthony</t>
  </si>
  <si>
    <t>hedgehog;Slovakia;0.7;22;male;;48.232760;17.069049;;09.05.2024;John Johnson</t>
  </si>
  <si>
    <t>hedgehog;Hungary;0.7;16;male;;47.509595;18.939751;;10.05.2024;Anne Anthony</t>
  </si>
  <si>
    <t>hedgehog;Hungary;1;20;male;;47.511301;18.939740;;10.05.2024;Anne Anthony</t>
  </si>
  <si>
    <t>red squirrel;Poland;0.264;21;male;;52.212148;21.033421;;11.05.2024;Anne Anthony</t>
  </si>
  <si>
    <t>hedgehog;Germany;0.7;24;male;;49.560230;11.102233;;11.05.2024;Bob Bobson</t>
  </si>
  <si>
    <t>hedgehog;Germany;1.1;19;female;;49.548410;11.078249;;11.05.2024;Bob Bobson</t>
  </si>
  <si>
    <t>hedgehog;Slovakia;0.8;24;female;;48.239628;17.087298;;11.05.2024;John Johnson</t>
  </si>
  <si>
    <t>hedgehog;Hungary;1;23;female;;47.507376;18.939600;;12.05.2024;Anne Anthony</t>
  </si>
  <si>
    <t>red squirrel;Poland;0.266;20;male;;52.212429;21.032435;;12.05.2024;Anne Anthony</t>
  </si>
  <si>
    <t>hedgehog;Slovakia;0.5;19;male;;48.231939;17.087688;;12.05.2024;John Johnson</t>
  </si>
  <si>
    <t>red squirrel;Poland;0.266;21;female;;52.212840;21.034377;;13.05.2024;Anne Anthony</t>
  </si>
  <si>
    <t>red squirrel;Poland;0.317;20;female;;52.212163;21.032633;;13.05.2024;Anne Anthony</t>
  </si>
  <si>
    <t>hedgehog;Slovakia;1;18;male;;48.225014;17.081449;;13.05.2024;John Johnson</t>
  </si>
  <si>
    <t>hedgehog;Hungary;0.6;17;female;;47.506311;18.947371;;14.05.2024;Anne Anthony</t>
  </si>
  <si>
    <t>red squirrel;Poland;0.27;23;female;;52.212553;21.032768;;14.05.2024;Anne Anthony</t>
  </si>
  <si>
    <t>hedgehog;Slovakia;0.7;22;female;;48.225116;17.086408;;14.05.2024;John Johnson</t>
  </si>
  <si>
    <t>red squirrel;Poland;0.279;22;male;;52.212411;21.033173;;15.05.2024;Anne Anthony</t>
  </si>
  <si>
    <t>hedgehog;Hungary;1;18;female;;47.507019;18.944015;;16.05.2024;Anne Anthony</t>
  </si>
  <si>
    <t>hedgehog;Slovakia;0.4;13;male;;48.237386;17.078352;;16.05.2024;John Johnson</t>
  </si>
  <si>
    <t>hedgehog;Hungary;;;male;;47.510077;18.945646;;17.05.2024;Anne Anthony</t>
  </si>
  <si>
    <t>hedgehog;Hungary;0.7;11;female;;47.507758;18.949223;;17.05.2024;Anne Anthony</t>
  </si>
  <si>
    <t>red squirrel;Poland;0.28;19;female;;52.212542;21.033829;;17.05.2024;Anne Anthony</t>
  </si>
  <si>
    <t>red squirrel;Poland;0.26;19;male;;52.212628;21.034494;;17.05.2024;Anne Anthony</t>
  </si>
  <si>
    <t>red squirrel;Poland;0.294;24;female;;52.212940;21.034208;;17.05.2024;Anne Anthony</t>
  </si>
  <si>
    <t>hedgehog;Slovakia;0.6;20;male;;48.235981;17.081698;;17.05.2024;John Johnson</t>
  </si>
  <si>
    <t>hedgehog;Slovakia;0.8;16;female;;48.234930;17.084813;;17.05.2024;John Johnson</t>
  </si>
  <si>
    <t>lynx;Slovakia;18;76;male;;48.412724;18.868878;;17.05.2024;John Johnson</t>
  </si>
  <si>
    <t>red squirrel;Poland;0.306;21;male;;52.211896;21.033806;;18.05.2024;Anne Anthony</t>
  </si>
  <si>
    <t>red squirrel;Poland;0.277;22;male;;52.211924;21.033243;;18.05.2024;Anne Anthony</t>
  </si>
  <si>
    <t>hedgehog;Hungary;1.1;22;female;;47.510584;18.941730;;19.05.2024;Anne Anthony</t>
  </si>
  <si>
    <t>hedgehog;Slovakia;0.6;19;female;;48.236605;17.071495;;19.05.2024;John Johnson</t>
  </si>
  <si>
    <t>lynx;Slovakia;22;85;male;;48.411436;18.864780;;19.05.2024;John Johnson</t>
  </si>
  <si>
    <t>red squirrel;Poland;0.341;21;female;;52.212295;21.034039;;20.05.2024;Anne Anthony</t>
  </si>
  <si>
    <t>red squirrel;Poland;0.338;22;female;;52.212915;21.033226;;21.05.2024;Anne Anthony</t>
  </si>
  <si>
    <t>red squirrel;Poland;0.311;19;female;;52.212601;21.032613;;21.05.2024;Anne Anthony</t>
  </si>
  <si>
    <t>hedgehog;Slovakia;1.2;25;male;;48.231497;17.073128;;21.05.2024;John Johnson</t>
  </si>
  <si>
    <t>hedgehog;Slovakia;0.4;16;female;;48.238634;17.074895;;21.05.2024;John Johnson</t>
  </si>
  <si>
    <t>red squirrel;Poland;0.308;23;male;;52.212245;21.032988;;22.05.2024;Anne Anthony</t>
  </si>
  <si>
    <t>red squirrel;Poland;0.308;22;female;;52.212583;21.032932;;22.05.2024;Anne Anthony</t>
  </si>
  <si>
    <t>red squirrel;Poland;0.29;23;male;;52.212065;21.034571;;23.05.2024;Anne Anthony</t>
  </si>
  <si>
    <t>hedgehog;Slovakia;0.5;16;male;;48.231214;17.084105;;23.05.2024;John Johnson</t>
  </si>
  <si>
    <t>lynx;Czech Republic;21;91;female;;50.881878;14.371969;;23.05.2024;John Johnson</t>
  </si>
  <si>
    <t>red squirrel;Poland;0.346;22;female;;52.212305;21.033921;;24.05.2024;Anne Anthony</t>
  </si>
  <si>
    <t>hedgehog;Slovakia;0.7;20;female;;48.231411;17.075484;;24.05.2024;John Johnson</t>
  </si>
  <si>
    <t>red squirrel;Poland;;;male;;52.212906;21.033210;;25.05.2024;Anne Anthony</t>
  </si>
  <si>
    <t>red squirrel;Poland;0.327;24;female;;52.822110;23.814403;;26.05.2024;Anne Anthony</t>
  </si>
  <si>
    <t>hedgehog;Slovakia;0.8;18;male;;48.237588;17.090344;;26.05.2024;John Johnson</t>
  </si>
  <si>
    <t>hedgehog;Slovakia;0.7;18;female;;48.232775;17.070226;;27.05.2024;John Johnson</t>
  </si>
  <si>
    <t>red squirrel;Poland;0.274;23;male;;52.821631;23.813638;;28.05.2024;Anne Anthony</t>
  </si>
  <si>
    <t>red squirrel;Poland;0.31;19;female;;52.821524;23.817037;Basia;29.05.2024;Anne Anthony</t>
  </si>
  <si>
    <t>hedgehog;Slovakia;0.8;18;male;;48.226890;17.084025;;29.05.2024;John Johnson</t>
  </si>
  <si>
    <t>lynx;Slovakia;25;101;female;;48.412941;18.863684;;29.05.2024;John Johnson</t>
  </si>
  <si>
    <t>hedgehog;Slovakia;0.6;18;female;;48.237124;17.085811;;30.05.2024;John Johnson</t>
  </si>
  <si>
    <t>red squirrel;Poland;0.315;24;female;;52.822950;23.812750;;31.05.2024;Anne Anthony</t>
  </si>
  <si>
    <t>red squirrel;Poland;0.293;22;female;;52.820813;23.809086;;31.05.2024;Anne Anthony</t>
  </si>
  <si>
    <t>red squirrel;Poland;0.302;24;male;;52.825793;23.811068;;31.05.2024;Anne Anthony</t>
  </si>
  <si>
    <t>red squirrel;Poland;0.299;20;female;;52.820308;23.809736;;31.05.2024;Anne Anthony</t>
  </si>
  <si>
    <t>hedgehog;Slovakia;0.6;15;male;;48.228141;17.089055;;31.05.2024;John Johnson</t>
  </si>
  <si>
    <t>lynx;Slovakia;30;115;male;;48.408025;18.865229;;31.05.2024;John Johnson</t>
  </si>
  <si>
    <t>red squirrel;Poland;0.325;20;male;;52.823959;23.817073;;01.06.2024;Anne Anthony</t>
  </si>
  <si>
    <t>red squirrel;Poland;0.276;22;male;;52.825746;23.815204;;01.06.2024;Anne Anthony</t>
  </si>
  <si>
    <t>red squirrel;Poland;0.298;24;female;;52.823595;23.814758;;01.06.2024;Anne Anthony</t>
  </si>
  <si>
    <t>red squirrel;Poland;0.322;23;male;;52.825363;23.816829;;01.06.2024;Anne Anthony</t>
  </si>
  <si>
    <t>red squirrel;Poland;0.344;22;female;;52.821958;23.811375;;01.06.2024;Anne Anthony</t>
  </si>
  <si>
    <t>red squirrel;Poland;0.323;22;female;;52.823084;23.816106;;01.06.2024;Anne Anthony</t>
  </si>
  <si>
    <t>hedgehog;Slovakia;0.6;15;male;;48.238913;17.065508;;02.06.2024;John Johnson</t>
  </si>
  <si>
    <t>;;;;;;;;;03.06.2024;James Johnson</t>
  </si>
  <si>
    <t>hedgehog;Slovakia;0.7;14;female;;48.237762;17.067101;;03.06.2024;John Johnson</t>
  </si>
  <si>
    <t>hedgehog;Slovakia;0.7;17;female;;48.238517;17.090268;;03.06.2024;John Johnson</t>
  </si>
  <si>
    <t>hedgehog;Slovakia;0.7;24;male;;48.232384;17.067453;;05.06.2024;John Johnson</t>
  </si>
  <si>
    <t>red squirrel;Czech Republic;0.324;19;male;;50.881376;14.367503;;06.06.2024;John Johnson</t>
  </si>
  <si>
    <t>red squirrel;Czech Republic;0.324;19;female;;50.883325;14.372463;;06.06.2024;John Johnson</t>
  </si>
  <si>
    <t>lynx;Slovakia;19;84;female;;48.408917;18.862915;;07.06.2024;John Johnson</t>
  </si>
  <si>
    <t>red squirrel;Czech Republic;0.291;21;female;;50.881428;14.366689;;08.06.2024;John Johnson</t>
  </si>
  <si>
    <t>red squirrel;Czech Republic;0.258;20;male;;50.882642;14.372818;;08.06.2024;John Johnson</t>
  </si>
  <si>
    <t>red squirrel;Czech Republic;0.333;23;male;;50.883849;14.367353;;10.06.2024;John Johnson</t>
  </si>
  <si>
    <t>red squirrel;Czech Republic;0.278;18;female;;50.884288;14.372837;;11.06.2024;John Johnson</t>
  </si>
  <si>
    <t>lynx;Slovakia;23;95;male;;48.411736;18.874597;;19.06.2024;John Johnson</t>
  </si>
  <si>
    <t>lynx;Slovakia;11;52;female;;48.411790;18.871650;;19.06.2024;John Johnson</t>
  </si>
  <si>
    <t>lynx?;Czech Republic;25;97;female;;50.881003;14.369286;;30.06.2024;John Johnson</t>
  </si>
  <si>
    <t>lynx;Slovakia;15;65;female;;48.406339;18.841071;;03.07.2024;James Johnson</t>
  </si>
  <si>
    <t>lynx;Slovakia;18;85;male;;48.411729;18.835591;;03.07.2024;James Johnson</t>
  </si>
  <si>
    <t>red squirel;Slovakia;0.297;20;not determined;;49.054132;22.411066;;03.07.2024;James Johnson</t>
  </si>
  <si>
    <t>red squirrel;Slovakia;0.273;23;female;;49.055962;22.425527;;03.07.2024;James Johnson</t>
  </si>
  <si>
    <t>red squirrel;Slovakia;0.254;19;male;;49.055646;22.412458;;03.07.2024;James Johnson</t>
  </si>
  <si>
    <t>red squirrel;Slovakia;0.305;20;female;;49.052910;22.420861;;03.07.2024;James Johnson</t>
  </si>
  <si>
    <t>red squirrel;Slovakia;0.327;19;female;;49.055547;22.411172;;03.07.2024;James Johnson</t>
  </si>
  <si>
    <t>red squirrell;Slovakia;0.305;20;male;;49.054647;22.410445;;03.07.2024;James Johnson</t>
  </si>
  <si>
    <t>;;;;;;;;;03.07.2024;James Johnson</t>
  </si>
  <si>
    <t>hedgehog;Slovakia;1;17;male;;48.226063;17.078596;;05.07.2024;James Johnson</t>
  </si>
  <si>
    <t>hedgehog;Slovakia;0.6;16;female;;48.238067;17.090891;;05.07.2024;James Johnson</t>
  </si>
  <si>
    <t>hedgehog;Slovakia;1.1;20;female;;48.239540;17.066719;;05.07.2024;James Johnson</t>
  </si>
  <si>
    <t>red squirrel;Slovakia;0.327;23;male;;49.057284;22.423861;;03.08.2024;James Johnson</t>
  </si>
  <si>
    <t>red squirrel;Slovakia;0.319;22;female;;49.054751;22.419160;;03.08.2024;James Johnson</t>
  </si>
  <si>
    <t>red squirrel;Slovakia;0.303;20;male;;49.055930;22.424085;;03.08.2024;James Johnson</t>
  </si>
  <si>
    <t>;;;;;;;;;03.08.2024;James Johnson</t>
  </si>
  <si>
    <t>lynx?;Slovakia;12;61;male;;48.413928;18.835281;;03.09.2024;James Johnson</t>
  </si>
  <si>
    <t>red squirrel;Slovakia;0.309;20;female;;49.057758;22.415169;;03.09.2024;James Johnson</t>
  </si>
  <si>
    <t>red squirrel;Slovakia;0.332;19;male;;48.185695;17.090742;;03.09.2024;James Johnson</t>
  </si>
  <si>
    <t>red squirrel;Slovakia;0.331;18;female;;48.186040;17.091147;;03.11.2024;James Johnson</t>
  </si>
  <si>
    <t>;;;;;;;;;03.13.2024;James Johnson</t>
  </si>
  <si>
    <t>;;;;;;;;;03.14.2024;James Johnson</t>
  </si>
  <si>
    <t>;;;;;;;;;03.22.2024;James Johnson</t>
  </si>
  <si>
    <t>hedgehog;Hungary;;;male;;47.509755;18.949465;;1 May 2024;Anne Anthony</t>
  </si>
  <si>
    <t>hedgehog;Hungary;0.9;16;female;;47.507053;18.943306;;1 May 2024;Anne Anthony</t>
  </si>
  <si>
    <t>red squirrel;Poland;0.281;21;male;;52.211985;21.032869;;1 May 2024;Anne Anthony</t>
  </si>
  <si>
    <t>hedgehog;Slovakia;0.6;19;female;;48.184621;17.089464;;1 May 2024;John Johnson</t>
  </si>
  <si>
    <t>lynx;Slovakia;27;96;male;;48.406669;18.871602;;1 May 2024;John Johnson</t>
  </si>
  <si>
    <t>lynx;Poland;13;63;female;;52.846379;23.904990;;2 may 2024;Anne Anthony</t>
  </si>
  <si>
    <t>lynx?;Poland;20;87;female;;52.852069;23.900870;;2 may 2024;Anne Anthony</t>
  </si>
  <si>
    <t>red squirrel;Poland;0.282;22;female;;52.212911;21.034175;;2 may 2024;Anne Anthony</t>
  </si>
  <si>
    <t>red squirrel;Germany;0.305;21;female;;48.162609;11.494157;;2 may 2024;Bob Bobson</t>
  </si>
  <si>
    <t>European bison;Czech Republic;727;210;male;;50.643056;14.843037;;2 may 2024;John Johnson</t>
  </si>
  <si>
    <t>lynx;Slovakia;25;107;female;;48.408475;18.872535;;2 may 2024;John Johnson</t>
  </si>
  <si>
    <t>hedgehog;Hungary;1.2;26;male;;47.509103;18.948171;;3 May 2024;Anne Anthony</t>
  </si>
  <si>
    <t>hedgehog;Slovakia;1.1;22;male;;48.183927;17.090716;;3 May 2024;John Johnson</t>
  </si>
  <si>
    <t>red squirrel;Poland;0.317;19;female;;52.212310;21.033586;Zuzia;4 May 2024;Anne Anthony</t>
  </si>
  <si>
    <t>hedgehog;Hungary;0.7;26;male;;47.510697;18.948588;;5 May 2024;Anne Anthony</t>
  </si>
  <si>
    <t>hedgehog;Hungary;1.1;21;female;;47.505903;18.948538;;5 May 2024;Anne Anthony</t>
  </si>
  <si>
    <t>lynx;Poland;24;89;female;;52.847483;23.906057;;5 May 2024;Anne Anthony</t>
  </si>
  <si>
    <t>hedgehog;Germany;0.6;23;female;;49.561220;11.082195;;5 May 2024;Bob Bobson</t>
  </si>
  <si>
    <t>hedgehog;Germany;0.7;21;female;;49.559523;11.103684;;5 May 2024;Bob Bobson</t>
  </si>
  <si>
    <t>hedgehog;Germany;0.6;23;male;;49.547725;11.082734;;5 May 2024;Bob Bobson</t>
  </si>
  <si>
    <t>hedgehog;Slovakia;1;21;male;;48.185893;17.08942;;5 May 2024;John Johnson</t>
  </si>
  <si>
    <t>hedgehog;Slovakia;0.4;16;male;;48.187845;17.086572;;5 May 2024;John Johnson</t>
  </si>
  <si>
    <t>hedgehog;Slovakia;0.7;19;female;;48.184278;17.086878;;5 May 2024;John Johnson</t>
  </si>
  <si>
    <t>red squirrel;Poland;0.301;22;male;;52.212760;21.034189;;6 May 2024;Anne Anthony</t>
  </si>
  <si>
    <t>red squirrel;Poland;0.343;22;male;;52.212497;21.033515;;6 May 2024;Anne Anthony</t>
  </si>
  <si>
    <t>red squirrel;Poland;0.307;20;female;;52.212144;21.033534;;6 May 2024;Anne Anthony</t>
  </si>
  <si>
    <t>hedgehog;Slovakia;0.8;21;male;;48.187468;17.088827;;6 May 2024;John Johnson</t>
  </si>
  <si>
    <t>hedgehog;Hungary;0.9;23;male;;47.510055;18.944356;;7 May 2024;Anne Anthony</t>
  </si>
  <si>
    <t>red squirrel;Poland;0.346;20;female;;52.212001;21.033187;Lola;7 May 2024;Anne Anthony</t>
  </si>
  <si>
    <t>hedgehog;Germany;1;23;female;;49.561356;11.105334;;7 May 2024;Bob Bobson</t>
  </si>
  <si>
    <t>hedgehog;Germany;0.5;17;female;;49.561569;11.087046;;7 May 2024;Bob Bobson</t>
  </si>
  <si>
    <t>hedgehog;Hungary;0.9;16;female;;47.509860;18.939943;;8 May 2024;Anne Anthony</t>
  </si>
  <si>
    <t>Animal Type</t>
  </si>
  <si>
    <t>Weight kg</t>
  </si>
  <si>
    <t>Body Length cm</t>
  </si>
  <si>
    <t>Observation date</t>
  </si>
  <si>
    <t>Data compiled by</t>
  </si>
  <si>
    <t>European Bison</t>
  </si>
  <si>
    <t>Male</t>
  </si>
  <si>
    <t>Female</t>
  </si>
  <si>
    <t>Lynx</t>
  </si>
  <si>
    <t>Red Squirrel</t>
  </si>
  <si>
    <t>Hedgehog</t>
  </si>
  <si>
    <t>Australia</t>
  </si>
  <si>
    <t>Month</t>
  </si>
  <si>
    <t>Row Labels</t>
  </si>
  <si>
    <t>Grand Total</t>
  </si>
  <si>
    <t>Count of Animal Type</t>
  </si>
  <si>
    <t>Where are they located the most?</t>
  </si>
  <si>
    <t>Mar</t>
  </si>
  <si>
    <t>Apr</t>
  </si>
  <si>
    <t>May</t>
  </si>
  <si>
    <t>Jun</t>
  </si>
  <si>
    <t>Jul</t>
  </si>
  <si>
    <t>Aug</t>
  </si>
  <si>
    <t>Sept</t>
  </si>
  <si>
    <t>Nov</t>
  </si>
  <si>
    <t>Column Labels</t>
  </si>
  <si>
    <t>How do monthly trends differ for each animal?</t>
  </si>
  <si>
    <t>Which animal species is most frequently observed?</t>
  </si>
  <si>
    <t>What is the gender breakdown within each species?</t>
  </si>
  <si>
    <t>What are the typical physical benchmarks for each species?</t>
  </si>
  <si>
    <t xml:space="preserve"> Average Weight (kg)</t>
  </si>
  <si>
    <t xml:space="preserve"> Average Body Length (cm)</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</si>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</sst>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6EA2B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5" fontId="0" fillId="0" borderId="0" xfId="0" applyNumberFormat="1"/>
    <xf numFmtId="0" fontId="0" fillId="0" borderId="0" xfId="0" pivotButton="1"/>
    <xf numFmtId="0" fontId="0" fillId="0" borderId="0" xfId="0" applyAlignment="1">
      <alignment horizontal="left"/>
    </xf>
    <xf numFmtId="0" fontId="16" fillId="0" borderId="0" xfId="0" applyFont="1"/>
    <xf numFmtId="164" fontId="0" fillId="0" borderId="0" xfId="0" applyNumberFormat="1"/>
    <xf numFmtId="1" fontId="0" fillId="0" borderId="0" xfId="0" applyNumberFormat="1"/>
    <xf numFmtId="0" fontId="19" fillId="0" borderId="0" xfId="0" applyFont="1"/>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 formatCode="0"/>
    </dxf>
    <dxf>
      <numFmt numFmtId="1" formatCode="0"/>
    </dxf>
    <dxf>
      <numFmt numFmtId="164" formatCode="0.0"/>
    </dxf>
    <dxf>
      <numFmt numFmtId="165" formatCode="0.000"/>
    </dxf>
    <dxf>
      <numFmt numFmtId="1" formatCode="0"/>
    </dxf>
    <dxf>
      <numFmt numFmtId="1" formatCode="0"/>
    </dxf>
    <dxf>
      <numFmt numFmtId="1" formatCode="0"/>
    </dxf>
    <dxf>
      <numFmt numFmtId="164" formatCode="0.0"/>
    </dxf>
    <dxf>
      <numFmt numFmtId="165" formatCode="0.000"/>
    </dxf>
    <dxf>
      <numFmt numFmtId="1" formatCode="0"/>
    </dxf>
    <dxf>
      <numFmt numFmtId="164" formatCode="0.0"/>
    </dxf>
    <dxf>
      <numFmt numFmtId="20" formatCode="dd\-mmm\-yy"/>
    </dxf>
    <dxf>
      <numFmt numFmtId="20" formatCode="dd\-mmm\-yy"/>
    </dxf>
    <dxf>
      <font>
        <b/>
        <color theme="1"/>
      </font>
      <border>
        <bottom style="thin">
          <color theme="4"/>
        </bottom>
        <vertical/>
        <horizontal/>
      </border>
    </dxf>
    <dxf>
      <font>
        <color theme="1"/>
      </font>
      <fill>
        <patternFill>
          <bgColor rgb="FF2596BE"/>
        </patternFill>
      </fill>
      <border diagonalUp="0" diagonalDown="0">
        <left/>
        <right/>
        <top/>
        <bottom/>
        <vertical/>
        <horizontal/>
      </border>
    </dxf>
  </dxfs>
  <tableStyles count="1" defaultTableStyle="TableStyleMedium2" defaultPivotStyle="PivotStyleLight16">
    <tableStyle name="SlicerStyleLight1 2" pivot="0" table="0" count="10" xr9:uid="{737ABC12-E8AD-419F-902D-8EDB63AE432D}">
      <tableStyleElement type="wholeTable" dxfId="14"/>
      <tableStyleElement type="headerRow" dxfId="13"/>
    </tableStyle>
  </tableStyles>
  <colors>
    <mruColors>
      <color rgb="FF0A4174"/>
      <color rgb="FF2596BE"/>
      <color rgb="FF7CCFDE"/>
      <color rgb="FFB4C6E7"/>
      <color rgb="FF4E8EA2"/>
      <color rgb="FF49769F"/>
      <color rgb="FF6EA2B3"/>
      <color rgb="FFBDD8E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7CCFDE"/>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7CCFDE"/>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[animal_data_dirtyyy.xlsx]PivotTable!PivotTable6</c:name>
    <c:fmtId val="4"/>
  </c:pivotSource>
  <c:chart>
    <c:title>
      <c:tx>
        <c:rich>
          <a:bodyPr rot="0" spcFirstLastPara="1" vertOverflow="ellipsis" vert="horz" wrap="square" anchor="ctr" anchorCtr="1"/>
          <a:lstStyle/>
          <a:p>
            <a:pPr>
              <a:defRPr sz="1400" b="0" i="0" u="none" strike="noStrike" kern="1200" spc="0" baseline="0">
                <a:solidFill>
                  <a:srgbClr val="0A4174"/>
                </a:solidFill>
                <a:latin typeface="+mn-lt"/>
                <a:ea typeface="+mn-ea"/>
                <a:cs typeface="+mn-cs"/>
              </a:defRPr>
            </a:pPr>
            <a:r>
              <a:rPr lang="en-DE" b="1">
                <a:solidFill>
                  <a:srgbClr val="0A4174"/>
                </a:solidFill>
              </a:rPr>
              <a:t>Gender</a:t>
            </a:r>
            <a:r>
              <a:rPr lang="en-DE" b="1" baseline="0">
                <a:solidFill>
                  <a:srgbClr val="0A4174"/>
                </a:solidFill>
              </a:rPr>
              <a:t> Composition</a:t>
            </a:r>
            <a:endParaRPr lang="en-US" b="1">
              <a:solidFill>
                <a:srgbClr val="0A417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A417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E8E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E8EA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PivotTable!$E$13:$E$14</c:f>
              <c:strCache>
                <c:ptCount val="1"/>
                <c:pt idx="0">
                  <c:v>Female</c:v>
                </c:pt>
              </c:strCache>
            </c:strRef>
          </c:tx>
          <c:spPr>
            <a:solidFill>
              <a:srgbClr val="4E8EA2"/>
            </a:solidFill>
            <a:ln>
              <a:noFill/>
            </a:ln>
            <a:effectLst/>
          </c:spPr>
          <c:invertIfNegative val="0"/>
          <c:cat>
            <c:strRef>
              <c:f>PivotTable!$D$15:$D$19</c:f>
              <c:strCache>
                <c:ptCount val="5"/>
                <c:pt idx="0">
                  <c:v>Red Squirrel</c:v>
                </c:pt>
                <c:pt idx="1">
                  <c:v>Hedgehog</c:v>
                </c:pt>
                <c:pt idx="2">
                  <c:v>Lynx</c:v>
                </c:pt>
                <c:pt idx="3">
                  <c:v>European Bison</c:v>
                </c:pt>
                <c:pt idx="4">
                  <c:v>(blank)</c:v>
                </c:pt>
              </c:strCache>
            </c:strRef>
          </c:cat>
          <c:val>
            <c:numRef>
              <c:f>PivotTable!$E$15:$E$19</c:f>
              <c:numCache>
                <c:formatCode>0</c:formatCode>
                <c:ptCount val="5"/>
                <c:pt idx="0">
                  <c:v>192</c:v>
                </c:pt>
                <c:pt idx="1">
                  <c:v>138</c:v>
                </c:pt>
                <c:pt idx="2">
                  <c:v>37</c:v>
                </c:pt>
                <c:pt idx="3">
                  <c:v>37</c:v>
                </c:pt>
              </c:numCache>
            </c:numRef>
          </c:val>
          <c:extLst>
            <c:ext xmlns:c16="http://schemas.microsoft.com/office/drawing/2014/chart" uri="{C3380CC4-5D6E-409C-BE32-E72D297353CC}">
              <c16:uniqueId val="{00000000-7631-4A60-8CC0-5A70CFF6FB35}"/>
            </c:ext>
          </c:extLst>
        </c:ser>
        <c:ser>
          <c:idx val="1"/>
          <c:order val="1"/>
          <c:tx>
            <c:strRef>
              <c:f>PivotTable!$F$13:$F$14</c:f>
              <c:strCache>
                <c:ptCount val="1"/>
                <c:pt idx="0">
                  <c:v>Male</c:v>
                </c:pt>
              </c:strCache>
            </c:strRef>
          </c:tx>
          <c:spPr>
            <a:solidFill>
              <a:srgbClr val="4E8EA2">
                <a:alpha val="50000"/>
              </a:srgbClr>
            </a:solidFill>
            <a:ln>
              <a:noFill/>
            </a:ln>
            <a:effectLst/>
          </c:spPr>
          <c:invertIfNegative val="0"/>
          <c:cat>
            <c:strRef>
              <c:f>PivotTable!$D$15:$D$19</c:f>
              <c:strCache>
                <c:ptCount val="5"/>
                <c:pt idx="0">
                  <c:v>Red Squirrel</c:v>
                </c:pt>
                <c:pt idx="1">
                  <c:v>Hedgehog</c:v>
                </c:pt>
                <c:pt idx="2">
                  <c:v>Lynx</c:v>
                </c:pt>
                <c:pt idx="3">
                  <c:v>European Bison</c:v>
                </c:pt>
                <c:pt idx="4">
                  <c:v>(blank)</c:v>
                </c:pt>
              </c:strCache>
            </c:strRef>
          </c:cat>
          <c:val>
            <c:numRef>
              <c:f>PivotTable!$F$15:$F$19</c:f>
              <c:numCache>
                <c:formatCode>0</c:formatCode>
                <c:ptCount val="5"/>
                <c:pt idx="0">
                  <c:v>221</c:v>
                </c:pt>
                <c:pt idx="1">
                  <c:v>140</c:v>
                </c:pt>
                <c:pt idx="2">
                  <c:v>34</c:v>
                </c:pt>
                <c:pt idx="3">
                  <c:v>26</c:v>
                </c:pt>
              </c:numCache>
            </c:numRef>
          </c:val>
          <c:extLst>
            <c:ext xmlns:c16="http://schemas.microsoft.com/office/drawing/2014/chart" uri="{C3380CC4-5D6E-409C-BE32-E72D297353CC}">
              <c16:uniqueId val="{00000001-7631-4A60-8CC0-5A70CFF6FB35}"/>
            </c:ext>
          </c:extLst>
        </c:ser>
        <c:ser>
          <c:idx val="2"/>
          <c:order val="2"/>
          <c:tx>
            <c:strRef>
              <c:f>PivotTable!$G$13:$G$14</c:f>
              <c:strCache>
                <c:ptCount val="1"/>
                <c:pt idx="0">
                  <c:v>(blank)</c:v>
                </c:pt>
              </c:strCache>
            </c:strRef>
          </c:tx>
          <c:spPr>
            <a:solidFill>
              <a:schemeClr val="accent3"/>
            </a:solidFill>
            <a:ln>
              <a:noFill/>
            </a:ln>
            <a:effectLst/>
          </c:spPr>
          <c:invertIfNegative val="0"/>
          <c:cat>
            <c:strRef>
              <c:f>PivotTable!$D$15:$D$19</c:f>
              <c:strCache>
                <c:ptCount val="5"/>
                <c:pt idx="0">
                  <c:v>Red Squirrel</c:v>
                </c:pt>
                <c:pt idx="1">
                  <c:v>Hedgehog</c:v>
                </c:pt>
                <c:pt idx="2">
                  <c:v>Lynx</c:v>
                </c:pt>
                <c:pt idx="3">
                  <c:v>European Bison</c:v>
                </c:pt>
                <c:pt idx="4">
                  <c:v>(blank)</c:v>
                </c:pt>
              </c:strCache>
            </c:strRef>
          </c:cat>
          <c:val>
            <c:numRef>
              <c:f>PivotTable!$G$15:$G$19</c:f>
              <c:numCache>
                <c:formatCode>0</c:formatCode>
                <c:ptCount val="5"/>
              </c:numCache>
            </c:numRef>
          </c:val>
          <c:extLst>
            <c:ext xmlns:c16="http://schemas.microsoft.com/office/drawing/2014/chart" uri="{C3380CC4-5D6E-409C-BE32-E72D297353CC}">
              <c16:uniqueId val="{00000007-6EF0-4A0D-8903-88EBB3896C4C}"/>
            </c:ext>
          </c:extLst>
        </c:ser>
        <c:dLbls>
          <c:showLegendKey val="0"/>
          <c:showVal val="0"/>
          <c:showCatName val="0"/>
          <c:showSerName val="0"/>
          <c:showPercent val="0"/>
          <c:showBubbleSize val="0"/>
        </c:dLbls>
        <c:gapWidth val="219"/>
        <c:overlap val="-27"/>
        <c:axId val="841117663"/>
        <c:axId val="841119583"/>
      </c:barChart>
      <c:catAx>
        <c:axId val="84111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19583"/>
        <c:crosses val="autoZero"/>
        <c:auto val="1"/>
        <c:lblAlgn val="ctr"/>
        <c:lblOffset val="100"/>
        <c:noMultiLvlLbl val="0"/>
      </c:catAx>
      <c:valAx>
        <c:axId val="8411195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176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[animal_data_dirtyyy.xlsx]PivotTable!PivotTable3</c:name>
    <c:fmtId val="4"/>
  </c:pivotSource>
  <c:chart>
    <c:title>
      <c:tx>
        <c:rich>
          <a:bodyPr rot="0" spcFirstLastPara="1" vertOverflow="ellipsis" vert="horz" wrap="square" anchor="ctr" anchorCtr="1"/>
          <a:lstStyle/>
          <a:p>
            <a:pPr>
              <a:defRPr sz="1400" b="0" i="0" u="none" strike="noStrike" kern="1200" spc="0" baseline="0">
                <a:solidFill>
                  <a:srgbClr val="0A4174"/>
                </a:solidFill>
                <a:latin typeface="+mn-lt"/>
                <a:ea typeface="+mn-ea"/>
                <a:cs typeface="+mn-cs"/>
              </a:defRPr>
            </a:pPr>
            <a:r>
              <a:rPr lang="en-DE" b="1">
                <a:solidFill>
                  <a:srgbClr val="0A4174"/>
                </a:solidFill>
              </a:rPr>
              <a:t>What is the typical</a:t>
            </a:r>
            <a:r>
              <a:rPr lang="en-DE" b="1" baseline="0">
                <a:solidFill>
                  <a:srgbClr val="0A4174"/>
                </a:solidFill>
              </a:rPr>
              <a:t> physical benchmarks </a:t>
            </a:r>
            <a:r>
              <a:rPr lang="en-DE" b="1">
                <a:solidFill>
                  <a:srgbClr val="0A4174"/>
                </a:solidFill>
              </a:rPr>
              <a:t>(kg &amp;</a:t>
            </a:r>
            <a:r>
              <a:rPr lang="en-DE" b="1" baseline="0">
                <a:solidFill>
                  <a:srgbClr val="0A4174"/>
                </a:solidFill>
              </a:rPr>
              <a:t> </a:t>
            </a:r>
            <a:r>
              <a:rPr lang="en-DE" b="1">
                <a:solidFill>
                  <a:srgbClr val="0A4174"/>
                </a:solidFill>
              </a:rPr>
              <a:t>cm) for each species?</a:t>
            </a:r>
            <a:endParaRPr lang="en-US" b="1">
              <a:solidFill>
                <a:srgbClr val="0A417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A417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E8E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E8EA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PivotTable!$E$3</c:f>
              <c:strCache>
                <c:ptCount val="1"/>
                <c:pt idx="0">
                  <c:v> Average Weight (kg)</c:v>
                </c:pt>
              </c:strCache>
            </c:strRef>
          </c:tx>
          <c:spPr>
            <a:solidFill>
              <a:srgbClr val="4E8EA2"/>
            </a:solidFill>
            <a:ln>
              <a:noFill/>
            </a:ln>
            <a:effectLst/>
          </c:spPr>
          <c:invertIfNegative val="0"/>
          <c:cat>
            <c:strRef>
              <c:f>PivotTable!$D$4:$D$8</c:f>
              <c:strCache>
                <c:ptCount val="5"/>
                <c:pt idx="0">
                  <c:v>European Bison</c:v>
                </c:pt>
                <c:pt idx="1">
                  <c:v>Hedgehog</c:v>
                </c:pt>
                <c:pt idx="2">
                  <c:v>Lynx</c:v>
                </c:pt>
                <c:pt idx="3">
                  <c:v>Red Squirrel</c:v>
                </c:pt>
                <c:pt idx="4">
                  <c:v>(blank)</c:v>
                </c:pt>
              </c:strCache>
            </c:strRef>
          </c:cat>
          <c:val>
            <c:numRef>
              <c:f>PivotTable!$E$4:$E$8</c:f>
              <c:numCache>
                <c:formatCode>General</c:formatCode>
                <c:ptCount val="5"/>
                <c:pt idx="0">
                  <c:v>588.39682539682542</c:v>
                </c:pt>
                <c:pt idx="1">
                  <c:v>0.79964028776978302</c:v>
                </c:pt>
                <c:pt idx="2">
                  <c:v>23.267605633802816</c:v>
                </c:pt>
                <c:pt idx="3">
                  <c:v>0.29637046004842643</c:v>
                </c:pt>
                <c:pt idx="4">
                  <c:v>0.28725000000000001</c:v>
                </c:pt>
              </c:numCache>
            </c:numRef>
          </c:val>
          <c:extLst>
            <c:ext xmlns:c16="http://schemas.microsoft.com/office/drawing/2014/chart" uri="{C3380CC4-5D6E-409C-BE32-E72D297353CC}">
              <c16:uniqueId val="{00000000-506A-4DFB-81AE-2A4762887E7A}"/>
            </c:ext>
          </c:extLst>
        </c:ser>
        <c:ser>
          <c:idx val="1"/>
          <c:order val="1"/>
          <c:tx>
            <c:strRef>
              <c:f>PivotTable!$F$3</c:f>
              <c:strCache>
                <c:ptCount val="1"/>
                <c:pt idx="0">
                  <c:v> Average Body Length (cm)</c:v>
                </c:pt>
              </c:strCache>
            </c:strRef>
          </c:tx>
          <c:spPr>
            <a:solidFill>
              <a:srgbClr val="4E8EA2">
                <a:alpha val="50000"/>
              </a:srgbClr>
            </a:solidFill>
            <a:ln>
              <a:noFill/>
            </a:ln>
            <a:effectLst/>
          </c:spPr>
          <c:invertIfNegative val="0"/>
          <c:cat>
            <c:strRef>
              <c:f>PivotTable!$D$4:$D$8</c:f>
              <c:strCache>
                <c:ptCount val="5"/>
                <c:pt idx="0">
                  <c:v>European Bison</c:v>
                </c:pt>
                <c:pt idx="1">
                  <c:v>Hedgehog</c:v>
                </c:pt>
                <c:pt idx="2">
                  <c:v>Lynx</c:v>
                </c:pt>
                <c:pt idx="3">
                  <c:v>Red Squirrel</c:v>
                </c:pt>
                <c:pt idx="4">
                  <c:v>(blank)</c:v>
                </c:pt>
              </c:strCache>
            </c:strRef>
          </c:cat>
          <c:val>
            <c:numRef>
              <c:f>PivotTable!$F$4:$F$8</c:f>
              <c:numCache>
                <c:formatCode>0</c:formatCode>
                <c:ptCount val="5"/>
                <c:pt idx="0">
                  <c:v>244.23809523809524</c:v>
                </c:pt>
                <c:pt idx="1">
                  <c:v>20.233812949640289</c:v>
                </c:pt>
                <c:pt idx="2">
                  <c:v>82.901408450704224</c:v>
                </c:pt>
                <c:pt idx="3">
                  <c:v>20.506053268765132</c:v>
                </c:pt>
                <c:pt idx="4">
                  <c:v>20.375</c:v>
                </c:pt>
              </c:numCache>
            </c:numRef>
          </c:val>
          <c:extLst>
            <c:ext xmlns:c16="http://schemas.microsoft.com/office/drawing/2014/chart" uri="{C3380CC4-5D6E-409C-BE32-E72D297353CC}">
              <c16:uniqueId val="{00000001-506A-4DFB-81AE-2A4762887E7A}"/>
            </c:ext>
          </c:extLst>
        </c:ser>
        <c:dLbls>
          <c:showLegendKey val="0"/>
          <c:showVal val="0"/>
          <c:showCatName val="0"/>
          <c:showSerName val="0"/>
          <c:showPercent val="0"/>
          <c:showBubbleSize val="0"/>
        </c:dLbls>
        <c:gapWidth val="219"/>
        <c:overlap val="-27"/>
        <c:axId val="841112863"/>
        <c:axId val="841103263"/>
      </c:barChart>
      <c:catAx>
        <c:axId val="84111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03263"/>
        <c:crosses val="autoZero"/>
        <c:auto val="1"/>
        <c:lblAlgn val="ctr"/>
        <c:lblOffset val="100"/>
        <c:noMultiLvlLbl val="0"/>
      </c:catAx>
      <c:valAx>
        <c:axId val="841103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DE"/>
                  <a:t>Measurements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1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[animal_data_dirtyyy.xlsx]PivotTable!PivotTable5</c:name>
    <c:fmtId val="12"/>
  </c:pivotSource>
  <c:chart>
    <c:title>
      <c:tx>
        <c:rich>
          <a:bodyPr rot="0" spcFirstLastPara="1" vertOverflow="ellipsis" vert="horz" wrap="square" anchor="ctr" anchorCtr="1"/>
          <a:lstStyle/>
          <a:p>
            <a:pPr>
              <a:defRPr sz="1400" b="0" i="0" u="none" strike="noStrike" kern="1200" spc="0" baseline="0">
                <a:solidFill>
                  <a:srgbClr val="0A4174"/>
                </a:solidFill>
                <a:latin typeface="+mn-lt"/>
                <a:ea typeface="+mn-ea"/>
                <a:cs typeface="+mn-cs"/>
              </a:defRPr>
            </a:pPr>
            <a:r>
              <a:rPr lang="en-DE" b="1">
                <a:solidFill>
                  <a:srgbClr val="0A4174"/>
                </a:solidFill>
              </a:rPr>
              <a:t>How</a:t>
            </a:r>
            <a:r>
              <a:rPr lang="en-DE" b="1" baseline="0">
                <a:solidFill>
                  <a:srgbClr val="0A4174"/>
                </a:solidFill>
              </a:rPr>
              <a:t> do monthly trends differ for each animal?</a:t>
            </a:r>
            <a:endParaRPr lang="en-US" b="1">
              <a:solidFill>
                <a:srgbClr val="0A417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A417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PivotTable!$E$25:$E$26</c:f>
              <c:strCache>
                <c:ptCount val="1"/>
                <c:pt idx="0">
                  <c:v>European Bison</c:v>
                </c:pt>
              </c:strCache>
            </c:strRef>
          </c:tx>
          <c:spPr>
            <a:ln w="28575" cap="rnd">
              <a:solidFill>
                <a:schemeClr val="accent1"/>
              </a:solidFill>
              <a:round/>
            </a:ln>
            <a:effectLst/>
          </c:spPr>
          <c:marker>
            <c:symbol val="none"/>
          </c:marker>
          <c:cat>
            <c:strRef>
              <c:f>PivotTable!$D$27:$D$35</c:f>
              <c:strCache>
                <c:ptCount val="8"/>
                <c:pt idx="0">
                  <c:v>Mar</c:v>
                </c:pt>
                <c:pt idx="1">
                  <c:v>Apr</c:v>
                </c:pt>
                <c:pt idx="2">
                  <c:v>May</c:v>
                </c:pt>
                <c:pt idx="3">
                  <c:v>Jun</c:v>
                </c:pt>
                <c:pt idx="4">
                  <c:v>Jul</c:v>
                </c:pt>
                <c:pt idx="5">
                  <c:v>Aug</c:v>
                </c:pt>
                <c:pt idx="6">
                  <c:v>Sept</c:v>
                </c:pt>
                <c:pt idx="7">
                  <c:v>Nov</c:v>
                </c:pt>
              </c:strCache>
            </c:strRef>
          </c:cat>
          <c:val>
            <c:numRef>
              <c:f>PivotTable!$E$27:$E$35</c:f>
              <c:numCache>
                <c:formatCode>General</c:formatCode>
                <c:ptCount val="8"/>
                <c:pt idx="0">
                  <c:v>46</c:v>
                </c:pt>
                <c:pt idx="1">
                  <c:v>16</c:v>
                </c:pt>
                <c:pt idx="2">
                  <c:v>1</c:v>
                </c:pt>
              </c:numCache>
            </c:numRef>
          </c:val>
          <c:smooth val="0"/>
          <c:extLst>
            <c:ext xmlns:c16="http://schemas.microsoft.com/office/drawing/2014/chart" uri="{C3380CC4-5D6E-409C-BE32-E72D297353CC}">
              <c16:uniqueId val="{00000000-4866-4C0C-A383-FDC60CAE0572}"/>
            </c:ext>
          </c:extLst>
        </c:ser>
        <c:ser>
          <c:idx val="1"/>
          <c:order val="1"/>
          <c:tx>
            <c:strRef>
              <c:f>PivotTable!$F$25:$F$26</c:f>
              <c:strCache>
                <c:ptCount val="1"/>
                <c:pt idx="0">
                  <c:v>Hedgehog</c:v>
                </c:pt>
              </c:strCache>
            </c:strRef>
          </c:tx>
          <c:spPr>
            <a:ln w="28575" cap="rnd">
              <a:solidFill>
                <a:schemeClr val="accent2"/>
              </a:solidFill>
              <a:round/>
            </a:ln>
            <a:effectLst/>
          </c:spPr>
          <c:marker>
            <c:symbol val="none"/>
          </c:marker>
          <c:cat>
            <c:strRef>
              <c:f>PivotTable!$D$27:$D$35</c:f>
              <c:strCache>
                <c:ptCount val="8"/>
                <c:pt idx="0">
                  <c:v>Mar</c:v>
                </c:pt>
                <c:pt idx="1">
                  <c:v>Apr</c:v>
                </c:pt>
                <c:pt idx="2">
                  <c:v>May</c:v>
                </c:pt>
                <c:pt idx="3">
                  <c:v>Jun</c:v>
                </c:pt>
                <c:pt idx="4">
                  <c:v>Jul</c:v>
                </c:pt>
                <c:pt idx="5">
                  <c:v>Aug</c:v>
                </c:pt>
                <c:pt idx="6">
                  <c:v>Sept</c:v>
                </c:pt>
                <c:pt idx="7">
                  <c:v>Nov</c:v>
                </c:pt>
              </c:strCache>
            </c:strRef>
          </c:cat>
          <c:val>
            <c:numRef>
              <c:f>PivotTable!$F$27:$F$35</c:f>
              <c:numCache>
                <c:formatCode>General</c:formatCode>
                <c:ptCount val="8"/>
                <c:pt idx="0">
                  <c:v>150</c:v>
                </c:pt>
                <c:pt idx="1">
                  <c:v>75</c:v>
                </c:pt>
                <c:pt idx="2">
                  <c:v>46</c:v>
                </c:pt>
                <c:pt idx="3">
                  <c:v>4</c:v>
                </c:pt>
                <c:pt idx="4">
                  <c:v>3</c:v>
                </c:pt>
              </c:numCache>
            </c:numRef>
          </c:val>
          <c:smooth val="0"/>
          <c:extLst>
            <c:ext xmlns:c16="http://schemas.microsoft.com/office/drawing/2014/chart" uri="{C3380CC4-5D6E-409C-BE32-E72D297353CC}">
              <c16:uniqueId val="{0000000D-C8D9-45A6-ADC8-A3E6623E94C9}"/>
            </c:ext>
          </c:extLst>
        </c:ser>
        <c:ser>
          <c:idx val="2"/>
          <c:order val="2"/>
          <c:tx>
            <c:strRef>
              <c:f>PivotTable!$G$25:$G$26</c:f>
              <c:strCache>
                <c:ptCount val="1"/>
                <c:pt idx="0">
                  <c:v>Lynx</c:v>
                </c:pt>
              </c:strCache>
            </c:strRef>
          </c:tx>
          <c:spPr>
            <a:ln w="28575" cap="rnd">
              <a:solidFill>
                <a:schemeClr val="accent3"/>
              </a:solidFill>
              <a:round/>
            </a:ln>
            <a:effectLst/>
          </c:spPr>
          <c:marker>
            <c:symbol val="none"/>
          </c:marker>
          <c:cat>
            <c:strRef>
              <c:f>PivotTable!$D$27:$D$35</c:f>
              <c:strCache>
                <c:ptCount val="8"/>
                <c:pt idx="0">
                  <c:v>Mar</c:v>
                </c:pt>
                <c:pt idx="1">
                  <c:v>Apr</c:v>
                </c:pt>
                <c:pt idx="2">
                  <c:v>May</c:v>
                </c:pt>
                <c:pt idx="3">
                  <c:v>Jun</c:v>
                </c:pt>
                <c:pt idx="4">
                  <c:v>Jul</c:v>
                </c:pt>
                <c:pt idx="5">
                  <c:v>Aug</c:v>
                </c:pt>
                <c:pt idx="6">
                  <c:v>Sept</c:v>
                </c:pt>
                <c:pt idx="7">
                  <c:v>Nov</c:v>
                </c:pt>
              </c:strCache>
            </c:strRef>
          </c:cat>
          <c:val>
            <c:numRef>
              <c:f>PivotTable!$G$27:$G$35</c:f>
              <c:numCache>
                <c:formatCode>General</c:formatCode>
                <c:ptCount val="8"/>
                <c:pt idx="0">
                  <c:v>34</c:v>
                </c:pt>
                <c:pt idx="1">
                  <c:v>20</c:v>
                </c:pt>
                <c:pt idx="2">
                  <c:v>10</c:v>
                </c:pt>
                <c:pt idx="3">
                  <c:v>4</c:v>
                </c:pt>
                <c:pt idx="4">
                  <c:v>2</c:v>
                </c:pt>
                <c:pt idx="6">
                  <c:v>1</c:v>
                </c:pt>
              </c:numCache>
            </c:numRef>
          </c:val>
          <c:smooth val="0"/>
          <c:extLst>
            <c:ext xmlns:c16="http://schemas.microsoft.com/office/drawing/2014/chart" uri="{C3380CC4-5D6E-409C-BE32-E72D297353CC}">
              <c16:uniqueId val="{0000000E-C8D9-45A6-ADC8-A3E6623E94C9}"/>
            </c:ext>
          </c:extLst>
        </c:ser>
        <c:ser>
          <c:idx val="3"/>
          <c:order val="3"/>
          <c:tx>
            <c:strRef>
              <c:f>PivotTable!$H$25:$H$26</c:f>
              <c:strCache>
                <c:ptCount val="1"/>
                <c:pt idx="0">
                  <c:v>Red Squirrel</c:v>
                </c:pt>
              </c:strCache>
            </c:strRef>
          </c:tx>
          <c:spPr>
            <a:ln w="28575" cap="rnd">
              <a:solidFill>
                <a:schemeClr val="accent4"/>
              </a:solidFill>
              <a:round/>
            </a:ln>
            <a:effectLst/>
          </c:spPr>
          <c:marker>
            <c:symbol val="none"/>
          </c:marker>
          <c:cat>
            <c:strRef>
              <c:f>PivotTable!$D$27:$D$35</c:f>
              <c:strCache>
                <c:ptCount val="8"/>
                <c:pt idx="0">
                  <c:v>Mar</c:v>
                </c:pt>
                <c:pt idx="1">
                  <c:v>Apr</c:v>
                </c:pt>
                <c:pt idx="2">
                  <c:v>May</c:v>
                </c:pt>
                <c:pt idx="3">
                  <c:v>Jun</c:v>
                </c:pt>
                <c:pt idx="4">
                  <c:v>Jul</c:v>
                </c:pt>
                <c:pt idx="5">
                  <c:v>Aug</c:v>
                </c:pt>
                <c:pt idx="6">
                  <c:v>Sept</c:v>
                </c:pt>
                <c:pt idx="7">
                  <c:v>Nov</c:v>
                </c:pt>
              </c:strCache>
            </c:strRef>
          </c:cat>
          <c:val>
            <c:numRef>
              <c:f>PivotTable!$H$27:$H$35</c:f>
              <c:numCache>
                <c:formatCode>General</c:formatCode>
                <c:ptCount val="8"/>
                <c:pt idx="0">
                  <c:v>193</c:v>
                </c:pt>
                <c:pt idx="1">
                  <c:v>161</c:v>
                </c:pt>
                <c:pt idx="2">
                  <c:v>35</c:v>
                </c:pt>
                <c:pt idx="3">
                  <c:v>12</c:v>
                </c:pt>
                <c:pt idx="4">
                  <c:v>6</c:v>
                </c:pt>
                <c:pt idx="5">
                  <c:v>3</c:v>
                </c:pt>
                <c:pt idx="6">
                  <c:v>2</c:v>
                </c:pt>
                <c:pt idx="7">
                  <c:v>1</c:v>
                </c:pt>
              </c:numCache>
            </c:numRef>
          </c:val>
          <c:smooth val="0"/>
          <c:extLst>
            <c:ext xmlns:c16="http://schemas.microsoft.com/office/drawing/2014/chart" uri="{C3380CC4-5D6E-409C-BE32-E72D297353CC}">
              <c16:uniqueId val="{0000000F-C8D9-45A6-ADC8-A3E6623E94C9}"/>
            </c:ext>
          </c:extLst>
        </c:ser>
        <c:ser>
          <c:idx val="4"/>
          <c:order val="4"/>
          <c:tx>
            <c:strRef>
              <c:f>PivotTable!$I$25:$I$26</c:f>
              <c:strCache>
                <c:ptCount val="1"/>
                <c:pt idx="0">
                  <c:v>(blank)</c:v>
                </c:pt>
              </c:strCache>
            </c:strRef>
          </c:tx>
          <c:spPr>
            <a:ln w="28575" cap="rnd">
              <a:solidFill>
                <a:schemeClr val="accent5"/>
              </a:solidFill>
              <a:round/>
            </a:ln>
            <a:effectLst/>
          </c:spPr>
          <c:marker>
            <c:symbol val="none"/>
          </c:marker>
          <c:cat>
            <c:strRef>
              <c:f>PivotTable!$D$27:$D$35</c:f>
              <c:strCache>
                <c:ptCount val="8"/>
                <c:pt idx="0">
                  <c:v>Mar</c:v>
                </c:pt>
                <c:pt idx="1">
                  <c:v>Apr</c:v>
                </c:pt>
                <c:pt idx="2">
                  <c:v>May</c:v>
                </c:pt>
                <c:pt idx="3">
                  <c:v>Jun</c:v>
                </c:pt>
                <c:pt idx="4">
                  <c:v>Jul</c:v>
                </c:pt>
                <c:pt idx="5">
                  <c:v>Aug</c:v>
                </c:pt>
                <c:pt idx="6">
                  <c:v>Sept</c:v>
                </c:pt>
                <c:pt idx="7">
                  <c:v>Nov</c:v>
                </c:pt>
              </c:strCache>
            </c:strRef>
          </c:cat>
          <c:val>
            <c:numRef>
              <c:f>PivotTable!$I$27:$I$35</c:f>
              <c:numCache>
                <c:formatCode>General</c:formatCode>
                <c:ptCount val="8"/>
              </c:numCache>
            </c:numRef>
          </c:val>
          <c:smooth val="0"/>
          <c:extLst>
            <c:ext xmlns:c16="http://schemas.microsoft.com/office/drawing/2014/chart" uri="{C3380CC4-5D6E-409C-BE32-E72D297353CC}">
              <c16:uniqueId val="{00000010-C8D9-45A6-ADC8-A3E6623E94C9}"/>
            </c:ext>
          </c:extLst>
        </c:ser>
        <c:dLbls>
          <c:showLegendKey val="0"/>
          <c:showVal val="0"/>
          <c:showCatName val="0"/>
          <c:showSerName val="0"/>
          <c:showPercent val="0"/>
          <c:showBubbleSize val="0"/>
        </c:dLbls>
        <c:smooth val="0"/>
        <c:axId val="725480159"/>
        <c:axId val="725483519"/>
      </c:lineChart>
      <c:catAx>
        <c:axId val="72548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483519"/>
        <c:crosses val="autoZero"/>
        <c:auto val="1"/>
        <c:lblAlgn val="ctr"/>
        <c:lblOffset val="100"/>
        <c:noMultiLvlLbl val="0"/>
      </c:catAx>
      <c:valAx>
        <c:axId val="725483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48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[animal_data_dirtyyy.xlsx]PivotTable!PivotTable1</c:name>
    <c:fmtId val="16"/>
  </c:pivotSource>
  <c:chart>
    <c:title>
      <c:tx>
        <c:rich>
          <a:bodyPr rot="0" spcFirstLastPara="1" vertOverflow="ellipsis" vert="horz" wrap="square" anchor="ctr" anchorCtr="1"/>
          <a:lstStyle/>
          <a:p>
            <a:pPr>
              <a:defRPr sz="1400" b="0" i="0" u="none" strike="noStrike" kern="1200" spc="0" baseline="0">
                <a:solidFill>
                  <a:srgbClr val="0A4174"/>
                </a:solidFill>
                <a:latin typeface="+mn-lt"/>
                <a:ea typeface="+mn-ea"/>
                <a:cs typeface="+mn-cs"/>
              </a:defRPr>
            </a:pPr>
            <a:r>
              <a:rPr lang="en-US" b="1">
                <a:solidFill>
                  <a:srgbClr val="0A4174"/>
                </a:solidFill>
              </a:rPr>
              <a:t>Which species is most common?</a:t>
            </a:r>
            <a:endParaRPr lang="en-DE" b="1" baseline="0">
              <a:solidFill>
                <a:srgbClr val="0A417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A4174"/>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E8E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E8E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rgbClr val="4E8EA2"/>
            </a:solidFill>
            <a:ln>
              <a:noFill/>
            </a:ln>
            <a:effectLst/>
          </c:spPr>
          <c:invertIfNegative val="0"/>
          <c:cat>
            <c:strRef>
              <c:f>PivotTable!$A$4:$A$8</c:f>
              <c:strCache>
                <c:ptCount val="4"/>
                <c:pt idx="0">
                  <c:v>Red Squirrel</c:v>
                </c:pt>
                <c:pt idx="1">
                  <c:v>Hedgehog</c:v>
                </c:pt>
                <c:pt idx="2">
                  <c:v>Lynx</c:v>
                </c:pt>
                <c:pt idx="3">
                  <c:v>European Bison</c:v>
                </c:pt>
              </c:strCache>
            </c:strRef>
          </c:cat>
          <c:val>
            <c:numRef>
              <c:f>PivotTable!$B$4:$B$8</c:f>
              <c:numCache>
                <c:formatCode>General</c:formatCode>
                <c:ptCount val="4"/>
                <c:pt idx="0">
                  <c:v>413</c:v>
                </c:pt>
                <c:pt idx="1">
                  <c:v>278</c:v>
                </c:pt>
                <c:pt idx="2">
                  <c:v>71</c:v>
                </c:pt>
                <c:pt idx="3">
                  <c:v>63</c:v>
                </c:pt>
              </c:numCache>
            </c:numRef>
          </c:val>
          <c:extLst>
            <c:ext xmlns:c16="http://schemas.microsoft.com/office/drawing/2014/chart" uri="{C3380CC4-5D6E-409C-BE32-E72D297353CC}">
              <c16:uniqueId val="{00000000-0BFB-4350-8EBD-EE42CA02B847}"/>
            </c:ext>
          </c:extLst>
        </c:ser>
        <c:dLbls>
          <c:showLegendKey val="0"/>
          <c:showVal val="0"/>
          <c:showCatName val="0"/>
          <c:showSerName val="0"/>
          <c:showPercent val="0"/>
          <c:showBubbleSize val="0"/>
        </c:dLbls>
        <c:gapWidth val="219"/>
        <c:overlap val="-27"/>
        <c:axId val="914982224"/>
        <c:axId val="914982704"/>
      </c:barChart>
      <c:catAx>
        <c:axId val="91498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982704"/>
        <c:crosses val="autoZero"/>
        <c:auto val="1"/>
        <c:lblAlgn val="ctr"/>
        <c:lblOffset val="100"/>
        <c:noMultiLvlLbl val="0"/>
      </c:catAx>
      <c:valAx>
        <c:axId val="9149827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98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[animal_data_dirtyyy.xlsx]PivotTable!PivotTable6</c:name>
    <c:fmtId val="10"/>
  </c:pivotSource>
  <c:chart>
    <c:title>
      <c:tx>
        <c:rich>
          <a:bodyPr rot="0" spcFirstLastPara="1" vertOverflow="ellipsis" vert="horz" wrap="square" anchor="ctr" anchorCtr="1"/>
          <a:lstStyle/>
          <a:p>
            <a:pPr>
              <a:defRPr sz="1400" b="0" i="0" u="none" strike="noStrike" kern="1200" spc="0" baseline="0">
                <a:solidFill>
                  <a:srgbClr val="0A4174"/>
                </a:solidFill>
                <a:latin typeface="+mn-lt"/>
                <a:ea typeface="+mn-ea"/>
                <a:cs typeface="+mn-cs"/>
              </a:defRPr>
            </a:pPr>
            <a:r>
              <a:rPr lang="en-DE" b="1">
                <a:solidFill>
                  <a:srgbClr val="0A4174"/>
                </a:solidFill>
              </a:rPr>
              <a:t>Gender</a:t>
            </a:r>
            <a:r>
              <a:rPr lang="en-DE" b="1" baseline="0">
                <a:solidFill>
                  <a:srgbClr val="0A4174"/>
                </a:solidFill>
              </a:rPr>
              <a:t> Composition</a:t>
            </a:r>
            <a:endParaRPr lang="en-US" b="1">
              <a:solidFill>
                <a:srgbClr val="0A417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A417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E8E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E8EA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4E8E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4E8EA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PivotTable!$E$13:$E$14</c:f>
              <c:strCache>
                <c:ptCount val="1"/>
                <c:pt idx="0">
                  <c:v>Female</c:v>
                </c:pt>
              </c:strCache>
            </c:strRef>
          </c:tx>
          <c:spPr>
            <a:solidFill>
              <a:srgbClr val="4E8EA2"/>
            </a:solidFill>
            <a:ln>
              <a:noFill/>
            </a:ln>
            <a:effectLst/>
          </c:spPr>
          <c:invertIfNegative val="0"/>
          <c:cat>
            <c:strRef>
              <c:f>PivotTable!$D$15:$D$19</c:f>
              <c:strCache>
                <c:ptCount val="5"/>
                <c:pt idx="0">
                  <c:v>Red Squirrel</c:v>
                </c:pt>
                <c:pt idx="1">
                  <c:v>Hedgehog</c:v>
                </c:pt>
                <c:pt idx="2">
                  <c:v>Lynx</c:v>
                </c:pt>
                <c:pt idx="3">
                  <c:v>European Bison</c:v>
                </c:pt>
                <c:pt idx="4">
                  <c:v>(blank)</c:v>
                </c:pt>
              </c:strCache>
            </c:strRef>
          </c:cat>
          <c:val>
            <c:numRef>
              <c:f>PivotTable!$E$15:$E$19</c:f>
              <c:numCache>
                <c:formatCode>0</c:formatCode>
                <c:ptCount val="5"/>
                <c:pt idx="0">
                  <c:v>192</c:v>
                </c:pt>
                <c:pt idx="1">
                  <c:v>138</c:v>
                </c:pt>
                <c:pt idx="2">
                  <c:v>37</c:v>
                </c:pt>
                <c:pt idx="3">
                  <c:v>37</c:v>
                </c:pt>
              </c:numCache>
            </c:numRef>
          </c:val>
          <c:extLst>
            <c:ext xmlns:c16="http://schemas.microsoft.com/office/drawing/2014/chart" uri="{C3380CC4-5D6E-409C-BE32-E72D297353CC}">
              <c16:uniqueId val="{00000000-7631-4A60-8CC0-5A70CFF6FB35}"/>
            </c:ext>
          </c:extLst>
        </c:ser>
        <c:ser>
          <c:idx val="1"/>
          <c:order val="1"/>
          <c:tx>
            <c:strRef>
              <c:f>PivotTable!$F$13:$F$14</c:f>
              <c:strCache>
                <c:ptCount val="1"/>
                <c:pt idx="0">
                  <c:v>Male</c:v>
                </c:pt>
              </c:strCache>
            </c:strRef>
          </c:tx>
          <c:spPr>
            <a:solidFill>
              <a:srgbClr val="4E8EA2">
                <a:alpha val="50000"/>
              </a:srgbClr>
            </a:solidFill>
            <a:ln>
              <a:noFill/>
            </a:ln>
            <a:effectLst/>
          </c:spPr>
          <c:invertIfNegative val="0"/>
          <c:cat>
            <c:strRef>
              <c:f>PivotTable!$D$15:$D$19</c:f>
              <c:strCache>
                <c:ptCount val="5"/>
                <c:pt idx="0">
                  <c:v>Red Squirrel</c:v>
                </c:pt>
                <c:pt idx="1">
                  <c:v>Hedgehog</c:v>
                </c:pt>
                <c:pt idx="2">
                  <c:v>Lynx</c:v>
                </c:pt>
                <c:pt idx="3">
                  <c:v>European Bison</c:v>
                </c:pt>
                <c:pt idx="4">
                  <c:v>(blank)</c:v>
                </c:pt>
              </c:strCache>
            </c:strRef>
          </c:cat>
          <c:val>
            <c:numRef>
              <c:f>PivotTable!$F$15:$F$19</c:f>
              <c:numCache>
                <c:formatCode>0</c:formatCode>
                <c:ptCount val="5"/>
                <c:pt idx="0">
                  <c:v>221</c:v>
                </c:pt>
                <c:pt idx="1">
                  <c:v>140</c:v>
                </c:pt>
                <c:pt idx="2">
                  <c:v>34</c:v>
                </c:pt>
                <c:pt idx="3">
                  <c:v>26</c:v>
                </c:pt>
              </c:numCache>
            </c:numRef>
          </c:val>
          <c:extLst>
            <c:ext xmlns:c16="http://schemas.microsoft.com/office/drawing/2014/chart" uri="{C3380CC4-5D6E-409C-BE32-E72D297353CC}">
              <c16:uniqueId val="{00000001-7631-4A60-8CC0-5A70CFF6FB35}"/>
            </c:ext>
          </c:extLst>
        </c:ser>
        <c:ser>
          <c:idx val="2"/>
          <c:order val="2"/>
          <c:tx>
            <c:strRef>
              <c:f>PivotTable!$G$13:$G$14</c:f>
              <c:strCache>
                <c:ptCount val="1"/>
                <c:pt idx="0">
                  <c:v>(blank)</c:v>
                </c:pt>
              </c:strCache>
            </c:strRef>
          </c:tx>
          <c:spPr>
            <a:solidFill>
              <a:schemeClr val="accent3"/>
            </a:solidFill>
            <a:ln>
              <a:noFill/>
            </a:ln>
            <a:effectLst/>
          </c:spPr>
          <c:invertIfNegative val="0"/>
          <c:cat>
            <c:strRef>
              <c:f>PivotTable!$D$15:$D$19</c:f>
              <c:strCache>
                <c:ptCount val="5"/>
                <c:pt idx="0">
                  <c:v>Red Squirrel</c:v>
                </c:pt>
                <c:pt idx="1">
                  <c:v>Hedgehog</c:v>
                </c:pt>
                <c:pt idx="2">
                  <c:v>Lynx</c:v>
                </c:pt>
                <c:pt idx="3">
                  <c:v>European Bison</c:v>
                </c:pt>
                <c:pt idx="4">
                  <c:v>(blank)</c:v>
                </c:pt>
              </c:strCache>
            </c:strRef>
          </c:cat>
          <c:val>
            <c:numRef>
              <c:f>PivotTable!$G$15:$G$19</c:f>
              <c:numCache>
                <c:formatCode>0</c:formatCode>
                <c:ptCount val="5"/>
              </c:numCache>
            </c:numRef>
          </c:val>
          <c:extLst>
            <c:ext xmlns:c16="http://schemas.microsoft.com/office/drawing/2014/chart" uri="{C3380CC4-5D6E-409C-BE32-E72D297353CC}">
              <c16:uniqueId val="{00000004-B2F9-41D3-B7A7-400F25F984B4}"/>
            </c:ext>
          </c:extLst>
        </c:ser>
        <c:dLbls>
          <c:showLegendKey val="0"/>
          <c:showVal val="0"/>
          <c:showCatName val="0"/>
          <c:showSerName val="0"/>
          <c:showPercent val="0"/>
          <c:showBubbleSize val="0"/>
        </c:dLbls>
        <c:gapWidth val="219"/>
        <c:overlap val="-27"/>
        <c:axId val="841117663"/>
        <c:axId val="841119583"/>
      </c:barChart>
      <c:catAx>
        <c:axId val="84111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19583"/>
        <c:crosses val="autoZero"/>
        <c:auto val="1"/>
        <c:lblAlgn val="ctr"/>
        <c:lblOffset val="100"/>
        <c:noMultiLvlLbl val="0"/>
      </c:catAx>
      <c:valAx>
        <c:axId val="8411195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176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[animal_data_dirtyyy.xlsx]PivotTable!PivotTable3</c:name>
    <c:fmtId val="12"/>
  </c:pivotSource>
  <c:chart>
    <c:title>
      <c:tx>
        <c:rich>
          <a:bodyPr rot="0" spcFirstLastPara="1" vertOverflow="ellipsis" vert="horz" wrap="square" anchor="ctr" anchorCtr="1"/>
          <a:lstStyle/>
          <a:p>
            <a:pPr>
              <a:defRPr sz="1400" b="0" i="0" u="none" strike="noStrike" kern="1200" spc="0" baseline="0">
                <a:solidFill>
                  <a:srgbClr val="0A4174"/>
                </a:solidFill>
                <a:latin typeface="+mn-lt"/>
                <a:ea typeface="+mn-ea"/>
                <a:cs typeface="+mn-cs"/>
              </a:defRPr>
            </a:pPr>
            <a:r>
              <a:rPr lang="en-DE" b="1">
                <a:solidFill>
                  <a:srgbClr val="0A4174"/>
                </a:solidFill>
              </a:rPr>
              <a:t>What is the typical</a:t>
            </a:r>
            <a:r>
              <a:rPr lang="en-DE" b="1" baseline="0">
                <a:solidFill>
                  <a:srgbClr val="0A4174"/>
                </a:solidFill>
              </a:rPr>
              <a:t> physical benchmarks </a:t>
            </a:r>
            <a:r>
              <a:rPr lang="en-DE" b="1">
                <a:solidFill>
                  <a:srgbClr val="0A4174"/>
                </a:solidFill>
              </a:rPr>
              <a:t>(kg &amp;</a:t>
            </a:r>
            <a:r>
              <a:rPr lang="en-DE" b="1" baseline="0">
                <a:solidFill>
                  <a:srgbClr val="0A4174"/>
                </a:solidFill>
              </a:rPr>
              <a:t> </a:t>
            </a:r>
            <a:r>
              <a:rPr lang="en-DE" b="1">
                <a:solidFill>
                  <a:srgbClr val="0A4174"/>
                </a:solidFill>
              </a:rPr>
              <a:t>cm) for each species?</a:t>
            </a:r>
            <a:endParaRPr lang="en-US" b="1">
              <a:solidFill>
                <a:srgbClr val="0A417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A417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E8E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E8EA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4E8E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4E8EA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PivotTable!$E$3</c:f>
              <c:strCache>
                <c:ptCount val="1"/>
                <c:pt idx="0">
                  <c:v> Average Weight (kg)</c:v>
                </c:pt>
              </c:strCache>
            </c:strRef>
          </c:tx>
          <c:spPr>
            <a:solidFill>
              <a:srgbClr val="4E8EA2"/>
            </a:solidFill>
            <a:ln>
              <a:noFill/>
            </a:ln>
            <a:effectLst/>
          </c:spPr>
          <c:invertIfNegative val="0"/>
          <c:cat>
            <c:strRef>
              <c:f>PivotTable!$D$4:$D$8</c:f>
              <c:strCache>
                <c:ptCount val="5"/>
                <c:pt idx="0">
                  <c:v>European Bison</c:v>
                </c:pt>
                <c:pt idx="1">
                  <c:v>Hedgehog</c:v>
                </c:pt>
                <c:pt idx="2">
                  <c:v>Lynx</c:v>
                </c:pt>
                <c:pt idx="3">
                  <c:v>Red Squirrel</c:v>
                </c:pt>
                <c:pt idx="4">
                  <c:v>(blank)</c:v>
                </c:pt>
              </c:strCache>
            </c:strRef>
          </c:cat>
          <c:val>
            <c:numRef>
              <c:f>PivotTable!$E$4:$E$8</c:f>
              <c:numCache>
                <c:formatCode>General</c:formatCode>
                <c:ptCount val="5"/>
                <c:pt idx="0">
                  <c:v>588.39682539682542</c:v>
                </c:pt>
                <c:pt idx="1">
                  <c:v>0.79964028776978302</c:v>
                </c:pt>
                <c:pt idx="2">
                  <c:v>23.267605633802816</c:v>
                </c:pt>
                <c:pt idx="3">
                  <c:v>0.29637046004842643</c:v>
                </c:pt>
                <c:pt idx="4">
                  <c:v>0.28725000000000001</c:v>
                </c:pt>
              </c:numCache>
            </c:numRef>
          </c:val>
          <c:extLst>
            <c:ext xmlns:c16="http://schemas.microsoft.com/office/drawing/2014/chart" uri="{C3380CC4-5D6E-409C-BE32-E72D297353CC}">
              <c16:uniqueId val="{00000000-506A-4DFB-81AE-2A4762887E7A}"/>
            </c:ext>
          </c:extLst>
        </c:ser>
        <c:ser>
          <c:idx val="1"/>
          <c:order val="1"/>
          <c:tx>
            <c:strRef>
              <c:f>PivotTable!$F$3</c:f>
              <c:strCache>
                <c:ptCount val="1"/>
                <c:pt idx="0">
                  <c:v> Average Body Length (cm)</c:v>
                </c:pt>
              </c:strCache>
            </c:strRef>
          </c:tx>
          <c:spPr>
            <a:solidFill>
              <a:srgbClr val="4E8EA2">
                <a:alpha val="50000"/>
              </a:srgbClr>
            </a:solidFill>
            <a:ln>
              <a:noFill/>
            </a:ln>
            <a:effectLst/>
          </c:spPr>
          <c:invertIfNegative val="0"/>
          <c:cat>
            <c:strRef>
              <c:f>PivotTable!$D$4:$D$8</c:f>
              <c:strCache>
                <c:ptCount val="5"/>
                <c:pt idx="0">
                  <c:v>European Bison</c:v>
                </c:pt>
                <c:pt idx="1">
                  <c:v>Hedgehog</c:v>
                </c:pt>
                <c:pt idx="2">
                  <c:v>Lynx</c:v>
                </c:pt>
                <c:pt idx="3">
                  <c:v>Red Squirrel</c:v>
                </c:pt>
                <c:pt idx="4">
                  <c:v>(blank)</c:v>
                </c:pt>
              </c:strCache>
            </c:strRef>
          </c:cat>
          <c:val>
            <c:numRef>
              <c:f>PivotTable!$F$4:$F$8</c:f>
              <c:numCache>
                <c:formatCode>0</c:formatCode>
                <c:ptCount val="5"/>
                <c:pt idx="0">
                  <c:v>244.23809523809524</c:v>
                </c:pt>
                <c:pt idx="1">
                  <c:v>20.233812949640289</c:v>
                </c:pt>
                <c:pt idx="2">
                  <c:v>82.901408450704224</c:v>
                </c:pt>
                <c:pt idx="3">
                  <c:v>20.506053268765132</c:v>
                </c:pt>
                <c:pt idx="4">
                  <c:v>20.375</c:v>
                </c:pt>
              </c:numCache>
            </c:numRef>
          </c:val>
          <c:extLst>
            <c:ext xmlns:c16="http://schemas.microsoft.com/office/drawing/2014/chart" uri="{C3380CC4-5D6E-409C-BE32-E72D297353CC}">
              <c16:uniqueId val="{00000001-506A-4DFB-81AE-2A4762887E7A}"/>
            </c:ext>
          </c:extLst>
        </c:ser>
        <c:dLbls>
          <c:showLegendKey val="0"/>
          <c:showVal val="0"/>
          <c:showCatName val="0"/>
          <c:showSerName val="0"/>
          <c:showPercent val="0"/>
          <c:showBubbleSize val="0"/>
        </c:dLbls>
        <c:gapWidth val="219"/>
        <c:overlap val="-27"/>
        <c:axId val="841112863"/>
        <c:axId val="841103263"/>
      </c:barChart>
      <c:catAx>
        <c:axId val="84111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03263"/>
        <c:crosses val="autoZero"/>
        <c:auto val="1"/>
        <c:lblAlgn val="ctr"/>
        <c:lblOffset val="100"/>
        <c:noMultiLvlLbl val="0"/>
      </c:catAx>
      <c:valAx>
        <c:axId val="8411032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DE"/>
                  <a:t>Measurements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1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solidFill>
                  <a:srgbClr val="0A4174"/>
                </a:solidFill>
              </a:defRPr>
            </a:pPr>
            <a:r>
              <a:rPr lang="en-US" sz="1400" b="1" i="0" u="none" strike="noStrike" baseline="0">
                <a:solidFill>
                  <a:srgbClr val="0A4174"/>
                </a:solidFill>
                <a:effectLst/>
                <a:latin typeface="Calibri" panose="020F0502020204030204"/>
                <a:ea typeface="Calibri" panose="020F0502020204030204" pitchFamily="34" charset="0"/>
                <a:cs typeface="Calibri" panose="020F0502020204030204" pitchFamily="34" charset="0"/>
              </a:rPr>
              <a:t>Where are they located the most?</a:t>
            </a:r>
            <a:r>
              <a:rPr lang="en-US">
                <a:solidFill>
                  <a:srgbClr val="0A4174"/>
                </a:solidFill>
                <a:effectLst/>
              </a:rPr>
              <a:t> </a:t>
            </a:r>
            <a:endParaRPr lang="en-US" sz="1400" b="0" i="0" u="none" strike="noStrike" baseline="0">
              <a:solidFill>
                <a:srgbClr val="0A4174"/>
              </a:solidFill>
              <a:latin typeface="Calibri" panose="020F0502020204030204"/>
            </a:endParaRPr>
          </a:p>
        </cx:rich>
      </cx:tx>
    </cx:title>
    <cx:plotArea>
      <cx:plotAreaRegion>
        <cx:series layoutId="treemap" uniqueId="{7CEBA66E-4BC5-44F9-AA4E-646A0A6053BD}">
          <cx:tx>
            <cx:txData>
              <cx:f>_xlchart.v1.4</cx:f>
              <cx:v>Count of Animal Type</cx:v>
            </cx:txData>
          </cx:tx>
          <cx:dataLabels pos="inEnd">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121397</xdr:colOff>
      <xdr:row>4</xdr:row>
      <xdr:rowOff>46691</xdr:rowOff>
    </xdr:from>
    <xdr:to>
      <xdr:col>19</xdr:col>
      <xdr:colOff>177426</xdr:colOff>
      <xdr:row>15</xdr:row>
      <xdr:rowOff>130735</xdr:rowOff>
    </xdr:to>
    <xdr:sp macro="" textlink="">
      <xdr:nvSpPr>
        <xdr:cNvPr id="11" name="Rectangle: Rounded Corners 10">
          <a:extLst>
            <a:ext uri="{FF2B5EF4-FFF2-40B4-BE49-F238E27FC236}">
              <a16:creationId xmlns:a16="http://schemas.microsoft.com/office/drawing/2014/main" id="{E53A3433-9958-4A53-A61C-49F20A67387A}"/>
            </a:ext>
          </a:extLst>
        </xdr:cNvPr>
        <xdr:cNvSpPr/>
      </xdr:nvSpPr>
      <xdr:spPr>
        <a:xfrm>
          <a:off x="6798235" y="793750"/>
          <a:ext cx="4911912" cy="2138456"/>
        </a:xfrm>
        <a:prstGeom prst="roundRect">
          <a:avLst>
            <a:gd name="adj" fmla="val 5259"/>
          </a:avLst>
        </a:prstGeom>
        <a:solidFill>
          <a:srgbClr val="7CCFD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541618</xdr:colOff>
      <xdr:row>4</xdr:row>
      <xdr:rowOff>177426</xdr:rowOff>
    </xdr:from>
    <xdr:to>
      <xdr:col>18</xdr:col>
      <xdr:colOff>345514</xdr:colOff>
      <xdr:row>15</xdr:row>
      <xdr:rowOff>37352</xdr:rowOff>
    </xdr:to>
    <xdr:graphicFrame macro="">
      <xdr:nvGraphicFramePr>
        <xdr:cNvPr id="24" name="Chart 23">
          <a:extLst>
            <a:ext uri="{FF2B5EF4-FFF2-40B4-BE49-F238E27FC236}">
              <a16:creationId xmlns:a16="http://schemas.microsoft.com/office/drawing/2014/main" id="{F01FDFE2-540C-46ED-BE49-A8E5E3015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382866</xdr:colOff>
      <xdr:row>16</xdr:row>
      <xdr:rowOff>28016</xdr:rowOff>
    </xdr:from>
    <xdr:to>
      <xdr:col>19</xdr:col>
      <xdr:colOff>160954</xdr:colOff>
      <xdr:row>27</xdr:row>
      <xdr:rowOff>133604</xdr:rowOff>
    </xdr:to>
    <xdr:sp macro="" textlink="">
      <xdr:nvSpPr>
        <xdr:cNvPr id="25" name="Rectangle: Rounded Corners 24">
          <a:extLst>
            <a:ext uri="{FF2B5EF4-FFF2-40B4-BE49-F238E27FC236}">
              <a16:creationId xmlns:a16="http://schemas.microsoft.com/office/drawing/2014/main" id="{40A35662-91CA-4D1D-9B62-9E674921AF53}"/>
            </a:ext>
          </a:extLst>
        </xdr:cNvPr>
        <xdr:cNvSpPr/>
      </xdr:nvSpPr>
      <xdr:spPr>
        <a:xfrm>
          <a:off x="8273675" y="3016251"/>
          <a:ext cx="3420000" cy="2160000"/>
        </a:xfrm>
        <a:prstGeom prst="roundRect">
          <a:avLst>
            <a:gd name="adj" fmla="val 4434"/>
          </a:avLst>
        </a:prstGeom>
        <a:solidFill>
          <a:srgbClr val="7CCFD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466912</xdr:colOff>
      <xdr:row>16</xdr:row>
      <xdr:rowOff>93383</xdr:rowOff>
    </xdr:from>
    <xdr:to>
      <xdr:col>19</xdr:col>
      <xdr:colOff>93382</xdr:colOff>
      <xdr:row>27</xdr:row>
      <xdr:rowOff>65369</xdr:rowOff>
    </xdr:to>
    <xdr:graphicFrame macro="">
      <xdr:nvGraphicFramePr>
        <xdr:cNvPr id="26" name="Chart 25">
          <a:extLst>
            <a:ext uri="{FF2B5EF4-FFF2-40B4-BE49-F238E27FC236}">
              <a16:creationId xmlns:a16="http://schemas.microsoft.com/office/drawing/2014/main" id="{07019677-5011-4E03-BF2F-C4B42416B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8</xdr:row>
      <xdr:rowOff>28015</xdr:rowOff>
    </xdr:from>
    <xdr:to>
      <xdr:col>3</xdr:col>
      <xdr:colOff>488576</xdr:colOff>
      <xdr:row>9</xdr:row>
      <xdr:rowOff>93383</xdr:rowOff>
    </xdr:to>
    <xdr:sp macro="" textlink="">
      <xdr:nvSpPr>
        <xdr:cNvPr id="5" name="TextBox 4">
          <a:extLst>
            <a:ext uri="{FF2B5EF4-FFF2-40B4-BE49-F238E27FC236}">
              <a16:creationId xmlns:a16="http://schemas.microsoft.com/office/drawing/2014/main" id="{A3C53EA0-A92F-4C1E-BBF4-38353CBB17CE}"/>
            </a:ext>
          </a:extLst>
        </xdr:cNvPr>
        <xdr:cNvSpPr txBox="1"/>
      </xdr:nvSpPr>
      <xdr:spPr>
        <a:xfrm>
          <a:off x="1213971" y="1522133"/>
          <a:ext cx="1095561" cy="252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000" b="1">
            <a:solidFill>
              <a:srgbClr val="0A4174"/>
            </a:solidFill>
          </a:endParaRPr>
        </a:p>
      </xdr:txBody>
    </xdr:sp>
    <xdr:clientData/>
  </xdr:twoCellAnchor>
  <xdr:twoCellAnchor>
    <xdr:from>
      <xdr:col>2</xdr:col>
      <xdr:colOff>18676</xdr:colOff>
      <xdr:row>12</xdr:row>
      <xdr:rowOff>1</xdr:rowOff>
    </xdr:from>
    <xdr:to>
      <xdr:col>4</xdr:col>
      <xdr:colOff>130734</xdr:colOff>
      <xdr:row>13</xdr:row>
      <xdr:rowOff>130736</xdr:rowOff>
    </xdr:to>
    <xdr:sp macro="" textlink="">
      <xdr:nvSpPr>
        <xdr:cNvPr id="6" name="TextBox 5">
          <a:extLst>
            <a:ext uri="{FF2B5EF4-FFF2-40B4-BE49-F238E27FC236}">
              <a16:creationId xmlns:a16="http://schemas.microsoft.com/office/drawing/2014/main" id="{1E6A5A0B-FC52-4D28-9AC4-875D8133B6FD}"/>
            </a:ext>
          </a:extLst>
        </xdr:cNvPr>
        <xdr:cNvSpPr txBox="1"/>
      </xdr:nvSpPr>
      <xdr:spPr>
        <a:xfrm>
          <a:off x="1232647" y="2241177"/>
          <a:ext cx="1326028"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000" b="1">
            <a:solidFill>
              <a:srgbClr val="0A4174"/>
            </a:solidFill>
          </a:endParaRPr>
        </a:p>
      </xdr:txBody>
    </xdr:sp>
    <xdr:clientData/>
  </xdr:twoCellAnchor>
  <xdr:twoCellAnchor>
    <xdr:from>
      <xdr:col>8</xdr:col>
      <xdr:colOff>253199</xdr:colOff>
      <xdr:row>3</xdr:row>
      <xdr:rowOff>85847</xdr:rowOff>
    </xdr:from>
    <xdr:to>
      <xdr:col>26</xdr:col>
      <xdr:colOff>119103</xdr:colOff>
      <xdr:row>31</xdr:row>
      <xdr:rowOff>1796</xdr:rowOff>
    </xdr:to>
    <xdr:sp macro="" textlink="">
      <xdr:nvSpPr>
        <xdr:cNvPr id="108" name="Rectangle: Rounded Corners 107">
          <a:extLst>
            <a:ext uri="{FF2B5EF4-FFF2-40B4-BE49-F238E27FC236}">
              <a16:creationId xmlns:a16="http://schemas.microsoft.com/office/drawing/2014/main" id="{08B3F9B1-1014-9F05-AE91-7E847780D39A}"/>
            </a:ext>
          </a:extLst>
        </xdr:cNvPr>
        <xdr:cNvSpPr/>
      </xdr:nvSpPr>
      <xdr:spPr>
        <a:xfrm>
          <a:off x="5154953" y="654005"/>
          <a:ext cx="10894852" cy="5218756"/>
        </a:xfrm>
        <a:prstGeom prst="roundRect">
          <a:avLst>
            <a:gd name="adj" fmla="val 1772"/>
          </a:avLst>
        </a:prstGeom>
        <a:solidFill>
          <a:srgbClr val="2596B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419730</xdr:colOff>
      <xdr:row>4</xdr:row>
      <xdr:rowOff>40275</xdr:rowOff>
    </xdr:from>
    <xdr:to>
      <xdr:col>15</xdr:col>
      <xdr:colOff>466421</xdr:colOff>
      <xdr:row>6</xdr:row>
      <xdr:rowOff>182591</xdr:rowOff>
    </xdr:to>
    <xdr:sp macro="" textlink="">
      <xdr:nvSpPr>
        <xdr:cNvPr id="109" name="Rectangle: Rounded Corners 108">
          <a:extLst>
            <a:ext uri="{FF2B5EF4-FFF2-40B4-BE49-F238E27FC236}">
              <a16:creationId xmlns:a16="http://schemas.microsoft.com/office/drawing/2014/main" id="{B55908A4-3C2F-D093-AAEA-51C086832DD1}"/>
            </a:ext>
          </a:extLst>
        </xdr:cNvPr>
        <xdr:cNvSpPr/>
      </xdr:nvSpPr>
      <xdr:spPr>
        <a:xfrm>
          <a:off x="5321484" y="797819"/>
          <a:ext cx="4335726" cy="521088"/>
        </a:xfrm>
        <a:prstGeom prst="roundRect">
          <a:avLst/>
        </a:prstGeom>
        <a:solidFill>
          <a:srgbClr val="7CCFD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489028</xdr:colOff>
      <xdr:row>7</xdr:row>
      <xdr:rowOff>57831</xdr:rowOff>
    </xdr:from>
    <xdr:to>
      <xdr:col>25</xdr:col>
      <xdr:colOff>545058</xdr:colOff>
      <xdr:row>18</xdr:row>
      <xdr:rowOff>141875</xdr:rowOff>
    </xdr:to>
    <xdr:sp macro="" textlink="">
      <xdr:nvSpPr>
        <xdr:cNvPr id="110" name="Rectangle: Rounded Corners 109">
          <a:extLst>
            <a:ext uri="{FF2B5EF4-FFF2-40B4-BE49-F238E27FC236}">
              <a16:creationId xmlns:a16="http://schemas.microsoft.com/office/drawing/2014/main" id="{E526A5EB-60B8-1E55-469A-4D9ACDEF46BC}"/>
            </a:ext>
          </a:extLst>
        </xdr:cNvPr>
        <xdr:cNvSpPr/>
      </xdr:nvSpPr>
      <xdr:spPr>
        <a:xfrm>
          <a:off x="10905256" y="1383533"/>
          <a:ext cx="4957784" cy="2167289"/>
        </a:xfrm>
        <a:prstGeom prst="roundRect">
          <a:avLst>
            <a:gd name="adj" fmla="val 5259"/>
          </a:avLst>
        </a:prstGeom>
        <a:solidFill>
          <a:srgbClr val="7CCFD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203146</xdr:colOff>
      <xdr:row>19</xdr:row>
      <xdr:rowOff>25147</xdr:rowOff>
    </xdr:from>
    <xdr:to>
      <xdr:col>20</xdr:col>
      <xdr:colOff>100263</xdr:colOff>
      <xdr:row>30</xdr:row>
      <xdr:rowOff>130735</xdr:rowOff>
    </xdr:to>
    <xdr:sp macro="" textlink="">
      <xdr:nvSpPr>
        <xdr:cNvPr id="111" name="Rectangle: Rounded Corners 110">
          <a:extLst>
            <a:ext uri="{FF2B5EF4-FFF2-40B4-BE49-F238E27FC236}">
              <a16:creationId xmlns:a16="http://schemas.microsoft.com/office/drawing/2014/main" id="{CF8F98C2-DBCA-2B1E-27E8-F518B60F38E9}"/>
            </a:ext>
          </a:extLst>
        </xdr:cNvPr>
        <xdr:cNvSpPr/>
      </xdr:nvSpPr>
      <xdr:spPr>
        <a:xfrm>
          <a:off x="8781216" y="3623480"/>
          <a:ext cx="3573433" cy="2188834"/>
        </a:xfrm>
        <a:prstGeom prst="roundRect">
          <a:avLst>
            <a:gd name="adj" fmla="val 4434"/>
          </a:avLst>
        </a:prstGeom>
        <a:solidFill>
          <a:srgbClr val="7CCFD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333509</xdr:colOff>
      <xdr:row>19</xdr:row>
      <xdr:rowOff>25147</xdr:rowOff>
    </xdr:from>
    <xdr:to>
      <xdr:col>14</xdr:col>
      <xdr:colOff>111597</xdr:colOff>
      <xdr:row>30</xdr:row>
      <xdr:rowOff>130735</xdr:rowOff>
    </xdr:to>
    <xdr:sp macro="" textlink="">
      <xdr:nvSpPr>
        <xdr:cNvPr id="112" name="Rectangle: Rounded Corners 111">
          <a:extLst>
            <a:ext uri="{FF2B5EF4-FFF2-40B4-BE49-F238E27FC236}">
              <a16:creationId xmlns:a16="http://schemas.microsoft.com/office/drawing/2014/main" id="{87267669-B26E-20D6-BA3B-26E8E2FB7ED8}"/>
            </a:ext>
          </a:extLst>
        </xdr:cNvPr>
        <xdr:cNvSpPr/>
      </xdr:nvSpPr>
      <xdr:spPr>
        <a:xfrm>
          <a:off x="5235263" y="3623480"/>
          <a:ext cx="3454404" cy="2188834"/>
        </a:xfrm>
        <a:prstGeom prst="roundRect">
          <a:avLst>
            <a:gd name="adj" fmla="val 5910"/>
          </a:avLst>
        </a:prstGeom>
        <a:solidFill>
          <a:srgbClr val="7CCFD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394198</xdr:colOff>
      <xdr:row>7</xdr:row>
      <xdr:rowOff>71101</xdr:rowOff>
    </xdr:from>
    <xdr:to>
      <xdr:col>10</xdr:col>
      <xdr:colOff>445961</xdr:colOff>
      <xdr:row>10</xdr:row>
      <xdr:rowOff>158807</xdr:rowOff>
    </xdr:to>
    <xdr:sp macro="" textlink="kpi">
      <xdr:nvSpPr>
        <xdr:cNvPr id="113" name="Rectangle: Rounded Corners 112">
          <a:extLst>
            <a:ext uri="{FF2B5EF4-FFF2-40B4-BE49-F238E27FC236}">
              <a16:creationId xmlns:a16="http://schemas.microsoft.com/office/drawing/2014/main" id="{6E20FFC3-BFAF-D731-C881-F2532C8D6B5E}"/>
            </a:ext>
          </a:extLst>
        </xdr:cNvPr>
        <xdr:cNvSpPr/>
      </xdr:nvSpPr>
      <xdr:spPr>
        <a:xfrm>
          <a:off x="5295952" y="1396803"/>
          <a:ext cx="1277202" cy="655864"/>
        </a:xfrm>
        <a:prstGeom prst="roundRect">
          <a:avLst/>
        </a:prstGeom>
        <a:solidFill>
          <a:srgbClr val="7CCFD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C4DB833-EEA6-4BC0-A09D-1265112D9092}" type="TxLink">
            <a:rPr lang="en-US" sz="2000" b="0" i="0" u="none" strike="noStrike">
              <a:solidFill>
                <a:srgbClr val="0A4174"/>
              </a:solidFill>
              <a:latin typeface="Calibri"/>
              <a:ea typeface="Calibri"/>
              <a:cs typeface="Calibri"/>
            </a:rPr>
            <a:t>825</a:t>
          </a:fld>
          <a:endParaRPr lang="en-US" sz="4000">
            <a:solidFill>
              <a:srgbClr val="0A4174"/>
            </a:solidFill>
          </a:endParaRPr>
        </a:p>
      </xdr:txBody>
    </xdr:sp>
    <xdr:clientData/>
  </xdr:twoCellAnchor>
  <xdr:twoCellAnchor>
    <xdr:from>
      <xdr:col>8</xdr:col>
      <xdr:colOff>367632</xdr:colOff>
      <xdr:row>11</xdr:row>
      <xdr:rowOff>26212</xdr:rowOff>
    </xdr:from>
    <xdr:to>
      <xdr:col>10</xdr:col>
      <xdr:colOff>447765</xdr:colOff>
      <xdr:row>14</xdr:row>
      <xdr:rowOff>113918</xdr:rowOff>
    </xdr:to>
    <xdr:sp macro="" textlink="loc">
      <xdr:nvSpPr>
        <xdr:cNvPr id="114" name="Rectangle: Rounded Corners 113">
          <a:extLst>
            <a:ext uri="{FF2B5EF4-FFF2-40B4-BE49-F238E27FC236}">
              <a16:creationId xmlns:a16="http://schemas.microsoft.com/office/drawing/2014/main" id="{326B7887-A491-A43B-39C9-781D360AC34F}"/>
            </a:ext>
          </a:extLst>
        </xdr:cNvPr>
        <xdr:cNvSpPr/>
      </xdr:nvSpPr>
      <xdr:spPr>
        <a:xfrm>
          <a:off x="5269386" y="2109458"/>
          <a:ext cx="1305572" cy="655864"/>
        </a:xfrm>
        <a:prstGeom prst="roundRect">
          <a:avLst/>
        </a:prstGeom>
        <a:solidFill>
          <a:srgbClr val="7CCFD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893157A-96CC-48F7-B70E-C12544B35153}" type="TxLink">
            <a:rPr lang="en-US" sz="2000" b="0" i="0" u="none" strike="noStrike">
              <a:solidFill>
                <a:srgbClr val="0A4174"/>
              </a:solidFill>
              <a:latin typeface="Calibri"/>
              <a:ea typeface="Calibri"/>
              <a:cs typeface="Calibri"/>
            </a:rPr>
            <a:pPr algn="ctr"/>
            <a:t>Poland</a:t>
          </a:fld>
          <a:endParaRPr lang="en-US" sz="2000">
            <a:solidFill>
              <a:srgbClr val="0A4174"/>
            </a:solidFill>
          </a:endParaRPr>
        </a:p>
      </xdr:txBody>
    </xdr:sp>
    <xdr:clientData/>
  </xdr:twoCellAnchor>
  <xdr:twoCellAnchor>
    <xdr:from>
      <xdr:col>8</xdr:col>
      <xdr:colOff>351438</xdr:colOff>
      <xdr:row>14</xdr:row>
      <xdr:rowOff>178245</xdr:rowOff>
    </xdr:from>
    <xdr:to>
      <xdr:col>10</xdr:col>
      <xdr:colOff>467894</xdr:colOff>
      <xdr:row>18</xdr:row>
      <xdr:rowOff>98845</xdr:rowOff>
    </xdr:to>
    <xdr:sp macro="" textlink="observed">
      <xdr:nvSpPr>
        <xdr:cNvPr id="115" name="Rectangle: Rounded Corners 114">
          <a:extLst>
            <a:ext uri="{FF2B5EF4-FFF2-40B4-BE49-F238E27FC236}">
              <a16:creationId xmlns:a16="http://schemas.microsoft.com/office/drawing/2014/main" id="{9EEC7E7B-804A-9DE0-076B-F7C96ADA7807}"/>
            </a:ext>
          </a:extLst>
        </xdr:cNvPr>
        <xdr:cNvSpPr/>
      </xdr:nvSpPr>
      <xdr:spPr>
        <a:xfrm>
          <a:off x="5253192" y="2829649"/>
          <a:ext cx="1341895" cy="678143"/>
        </a:xfrm>
        <a:prstGeom prst="roundRect">
          <a:avLst/>
        </a:prstGeom>
        <a:solidFill>
          <a:srgbClr val="7CCFD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A1144D2F-37F6-4ABC-AE38-4D0AF7E0EFF7}" type="TxLink">
            <a:rPr lang="en-US" sz="1600" b="0" i="0" u="none" strike="noStrike">
              <a:solidFill>
                <a:srgbClr val="0A4174"/>
              </a:solidFill>
              <a:latin typeface="Calibri"/>
              <a:ea typeface="Calibri"/>
              <a:cs typeface="Calibri"/>
            </a:rPr>
            <a:pPr algn="r"/>
            <a:t>Red Squirrel</a:t>
          </a:fld>
          <a:endParaRPr lang="en-US" sz="1600">
            <a:solidFill>
              <a:srgbClr val="0A4174"/>
            </a:solidFill>
          </a:endParaRPr>
        </a:p>
      </xdr:txBody>
    </xdr:sp>
    <xdr:clientData/>
  </xdr:twoCellAnchor>
  <xdr:twoCellAnchor>
    <xdr:from>
      <xdr:col>14</xdr:col>
      <xdr:colOff>231161</xdr:colOff>
      <xdr:row>19</xdr:row>
      <xdr:rowOff>113862</xdr:rowOff>
    </xdr:from>
    <xdr:to>
      <xdr:col>19</xdr:col>
      <xdr:colOff>500055</xdr:colOff>
      <xdr:row>30</xdr:row>
      <xdr:rowOff>32858</xdr:rowOff>
    </xdr:to>
    <xdr:graphicFrame macro="">
      <xdr:nvGraphicFramePr>
        <xdr:cNvPr id="117" name="Chart 116">
          <a:extLst>
            <a:ext uri="{FF2B5EF4-FFF2-40B4-BE49-F238E27FC236}">
              <a16:creationId xmlns:a16="http://schemas.microsoft.com/office/drawing/2014/main" id="{E9174DE9-C34A-07C1-4FCA-D1A479F28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470353</xdr:colOff>
      <xdr:row>4</xdr:row>
      <xdr:rowOff>85846</xdr:rowOff>
    </xdr:from>
    <xdr:to>
      <xdr:col>15</xdr:col>
      <xdr:colOff>305869</xdr:colOff>
      <xdr:row>7</xdr:row>
      <xdr:rowOff>20261</xdr:rowOff>
    </xdr:to>
    <xdr:sp macro="" textlink="">
      <xdr:nvSpPr>
        <xdr:cNvPr id="118" name="TextBox 117">
          <a:extLst>
            <a:ext uri="{FF2B5EF4-FFF2-40B4-BE49-F238E27FC236}">
              <a16:creationId xmlns:a16="http://schemas.microsoft.com/office/drawing/2014/main" id="{31DFB343-6F01-1283-A7A7-61C9EE95D98A}"/>
            </a:ext>
          </a:extLst>
        </xdr:cNvPr>
        <xdr:cNvSpPr txBox="1"/>
      </xdr:nvSpPr>
      <xdr:spPr>
        <a:xfrm>
          <a:off x="5372107" y="843390"/>
          <a:ext cx="4124551" cy="502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DE" sz="2400">
              <a:solidFill>
                <a:srgbClr val="0A4174"/>
              </a:solidFill>
              <a:latin typeface="Impact" panose="020B0806030902050204" pitchFamily="34" charset="0"/>
              <a:cs typeface="Arial" panose="020B0604020202020204" pitchFamily="34" charset="0"/>
            </a:rPr>
            <a:t>ANIMAL</a:t>
          </a:r>
          <a:r>
            <a:rPr lang="en-DE" sz="2400" baseline="0">
              <a:solidFill>
                <a:srgbClr val="2596BE"/>
              </a:solidFill>
              <a:latin typeface="Impact" panose="020B0806030902050204" pitchFamily="34" charset="0"/>
              <a:cs typeface="Arial" panose="020B0604020202020204" pitchFamily="34" charset="0"/>
            </a:rPr>
            <a:t> </a:t>
          </a:r>
          <a:r>
            <a:rPr lang="en-DE" sz="2400" baseline="0">
              <a:solidFill>
                <a:srgbClr val="0A4174"/>
              </a:solidFill>
              <a:latin typeface="Impact" panose="020B0806030902050204" pitchFamily="34" charset="0"/>
              <a:cs typeface="Arial" panose="020B0604020202020204" pitchFamily="34" charset="0"/>
            </a:rPr>
            <a:t>DEMOGRAPHIC</a:t>
          </a:r>
          <a:r>
            <a:rPr lang="en-DE" sz="2400" baseline="0">
              <a:solidFill>
                <a:srgbClr val="2596BE"/>
              </a:solidFill>
              <a:latin typeface="Impact" panose="020B0806030902050204" pitchFamily="34" charset="0"/>
              <a:cs typeface="Arial" panose="020B0604020202020204" pitchFamily="34" charset="0"/>
            </a:rPr>
            <a:t> </a:t>
          </a:r>
          <a:r>
            <a:rPr lang="en-DE" sz="2400" baseline="0">
              <a:solidFill>
                <a:srgbClr val="0A4174"/>
              </a:solidFill>
              <a:latin typeface="Impact" panose="020B0806030902050204" pitchFamily="34" charset="0"/>
              <a:cs typeface="Arial" panose="020B0604020202020204" pitchFamily="34" charset="0"/>
            </a:rPr>
            <a:t>ANALYSIS</a:t>
          </a:r>
          <a:endParaRPr lang="en-US" sz="2400">
            <a:solidFill>
              <a:srgbClr val="0A4174"/>
            </a:solidFill>
            <a:latin typeface="Impact" panose="020B0806030902050204" pitchFamily="34" charset="0"/>
            <a:cs typeface="Arial" panose="020B0604020202020204" pitchFamily="34" charset="0"/>
          </a:endParaRPr>
        </a:p>
      </xdr:txBody>
    </xdr:sp>
    <xdr:clientData/>
  </xdr:twoCellAnchor>
  <xdr:twoCellAnchor>
    <xdr:from>
      <xdr:col>8</xdr:col>
      <xdr:colOff>507705</xdr:colOff>
      <xdr:row>19</xdr:row>
      <xdr:rowOff>113861</xdr:rowOff>
    </xdr:from>
    <xdr:to>
      <xdr:col>14</xdr:col>
      <xdr:colOff>16383</xdr:colOff>
      <xdr:row>30</xdr:row>
      <xdr:rowOff>48493</xdr:rowOff>
    </xdr:to>
    <xdr:graphicFrame macro="">
      <xdr:nvGraphicFramePr>
        <xdr:cNvPr id="119" name="Chart 118">
          <a:extLst>
            <a:ext uri="{FF2B5EF4-FFF2-40B4-BE49-F238E27FC236}">
              <a16:creationId xmlns:a16="http://schemas.microsoft.com/office/drawing/2014/main" id="{0C886F03-C6EC-A41E-00A3-6CC9B32A8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296530</xdr:colOff>
      <xdr:row>7</xdr:row>
      <xdr:rowOff>188566</xdr:rowOff>
    </xdr:from>
    <xdr:to>
      <xdr:col>25</xdr:col>
      <xdr:colOff>100426</xdr:colOff>
      <xdr:row>18</xdr:row>
      <xdr:rowOff>48492</xdr:rowOff>
    </xdr:to>
    <xdr:graphicFrame macro="">
      <xdr:nvGraphicFramePr>
        <xdr:cNvPr id="120" name="Chart 119">
          <a:extLst>
            <a:ext uri="{FF2B5EF4-FFF2-40B4-BE49-F238E27FC236}">
              <a16:creationId xmlns:a16="http://schemas.microsoft.com/office/drawing/2014/main" id="{0A94FA95-69FF-032B-F1B2-DA68DBE68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182340</xdr:colOff>
      <xdr:row>19</xdr:row>
      <xdr:rowOff>25147</xdr:rowOff>
    </xdr:from>
    <xdr:to>
      <xdr:col>25</xdr:col>
      <xdr:colOff>573148</xdr:colOff>
      <xdr:row>30</xdr:row>
      <xdr:rowOff>130735</xdr:rowOff>
    </xdr:to>
    <xdr:sp macro="" textlink="">
      <xdr:nvSpPr>
        <xdr:cNvPr id="121" name="Rectangle: Rounded Corners 120">
          <a:extLst>
            <a:ext uri="{FF2B5EF4-FFF2-40B4-BE49-F238E27FC236}">
              <a16:creationId xmlns:a16="http://schemas.microsoft.com/office/drawing/2014/main" id="{C38726CB-20B9-0219-4472-1727DDE6607D}"/>
            </a:ext>
          </a:extLst>
        </xdr:cNvPr>
        <xdr:cNvSpPr/>
      </xdr:nvSpPr>
      <xdr:spPr>
        <a:xfrm>
          <a:off x="12436726" y="3623480"/>
          <a:ext cx="3454404" cy="2188834"/>
        </a:xfrm>
        <a:prstGeom prst="roundRect">
          <a:avLst>
            <a:gd name="adj" fmla="val 4434"/>
          </a:avLst>
        </a:prstGeom>
        <a:solidFill>
          <a:srgbClr val="7CCFD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221824</xdr:colOff>
      <xdr:row>19</xdr:row>
      <xdr:rowOff>104523</xdr:rowOff>
    </xdr:from>
    <xdr:to>
      <xdr:col>25</xdr:col>
      <xdr:colOff>461014</xdr:colOff>
      <xdr:row>30</xdr:row>
      <xdr:rowOff>76509</xdr:rowOff>
    </xdr:to>
    <xdr:graphicFrame macro="">
      <xdr:nvGraphicFramePr>
        <xdr:cNvPr id="122" name="Chart 121">
          <a:extLst>
            <a:ext uri="{FF2B5EF4-FFF2-40B4-BE49-F238E27FC236}">
              <a16:creationId xmlns:a16="http://schemas.microsoft.com/office/drawing/2014/main" id="{C4A3E33D-F4D7-F3C2-0C33-C86D2B269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395647</xdr:colOff>
      <xdr:row>7</xdr:row>
      <xdr:rowOff>141875</xdr:rowOff>
    </xdr:from>
    <xdr:to>
      <xdr:col>10</xdr:col>
      <xdr:colOff>240500</xdr:colOff>
      <xdr:row>8</xdr:row>
      <xdr:rowOff>160551</xdr:rowOff>
    </xdr:to>
    <xdr:sp macro="" textlink="">
      <xdr:nvSpPr>
        <xdr:cNvPr id="123" name="TextBox 122">
          <a:extLst>
            <a:ext uri="{FF2B5EF4-FFF2-40B4-BE49-F238E27FC236}">
              <a16:creationId xmlns:a16="http://schemas.microsoft.com/office/drawing/2014/main" id="{3E2F9364-D0DF-DBD6-F1FC-B08055C0B4F9}"/>
            </a:ext>
          </a:extLst>
        </xdr:cNvPr>
        <xdr:cNvSpPr txBox="1"/>
      </xdr:nvSpPr>
      <xdr:spPr>
        <a:xfrm>
          <a:off x="5297401" y="1467577"/>
          <a:ext cx="1070292" cy="208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DE" sz="1000" b="1">
              <a:solidFill>
                <a:srgbClr val="0A4174"/>
              </a:solidFill>
            </a:rPr>
            <a:t>Count of Animal</a:t>
          </a:r>
          <a:endParaRPr lang="en-US" sz="1000" b="1">
            <a:solidFill>
              <a:srgbClr val="0A4174"/>
            </a:solidFill>
          </a:endParaRPr>
        </a:p>
      </xdr:txBody>
    </xdr:sp>
    <xdr:clientData/>
  </xdr:twoCellAnchor>
  <xdr:twoCellAnchor editAs="oneCell">
    <xdr:from>
      <xdr:col>19</xdr:col>
      <xdr:colOff>231163</xdr:colOff>
      <xdr:row>4</xdr:row>
      <xdr:rowOff>151214</xdr:rowOff>
    </xdr:from>
    <xdr:to>
      <xdr:col>25</xdr:col>
      <xdr:colOff>509574</xdr:colOff>
      <xdr:row>6</xdr:row>
      <xdr:rowOff>160553</xdr:rowOff>
    </xdr:to>
    <mc:AlternateContent xmlns:mc="http://schemas.openxmlformats.org/markup-compatibility/2006">
      <mc:Choice xmlns:a14="http://schemas.microsoft.com/office/drawing/2010/main" Requires="a14">
        <xdr:graphicFrame macro="">
          <xdr:nvGraphicFramePr>
            <xdr:cNvPr id="124" name="Animal Type 1">
              <a:extLst>
                <a:ext uri="{FF2B5EF4-FFF2-40B4-BE49-F238E27FC236}">
                  <a16:creationId xmlns:a16="http://schemas.microsoft.com/office/drawing/2014/main" id="{4A073C95-77E6-2574-BA4F-6EBAB4F386B8}"/>
                </a:ext>
              </a:extLst>
            </xdr:cNvPr>
            <xdr:cNvGraphicFramePr/>
          </xdr:nvGraphicFramePr>
          <xdr:xfrm>
            <a:off x="0" y="0"/>
            <a:ext cx="0" cy="0"/>
          </xdr:xfrm>
          <a:graphic>
            <a:graphicData uri="http://schemas.microsoft.com/office/drawing/2010/slicer">
              <sle:slicer xmlns:sle="http://schemas.microsoft.com/office/drawing/2010/slicer" name="Animal Type 1"/>
            </a:graphicData>
          </a:graphic>
        </xdr:graphicFrame>
      </mc:Choice>
      <mc:Fallback>
        <xdr:sp macro="" textlink="">
          <xdr:nvSpPr>
            <xdr:cNvPr id="0" name=""/>
            <xdr:cNvSpPr>
              <a:spLocks noTextEdit="1"/>
            </xdr:cNvSpPr>
          </xdr:nvSpPr>
          <xdr:spPr>
            <a:xfrm>
              <a:off x="11872830" y="908758"/>
              <a:ext cx="3954726" cy="388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367632</xdr:colOff>
      <xdr:row>11</xdr:row>
      <xdr:rowOff>39155</xdr:rowOff>
    </xdr:from>
    <xdr:to>
      <xdr:col>10</xdr:col>
      <xdr:colOff>243488</xdr:colOff>
      <xdr:row>12</xdr:row>
      <xdr:rowOff>104523</xdr:rowOff>
    </xdr:to>
    <xdr:sp macro="" textlink="">
      <xdr:nvSpPr>
        <xdr:cNvPr id="125" name="TextBox 124">
          <a:extLst>
            <a:ext uri="{FF2B5EF4-FFF2-40B4-BE49-F238E27FC236}">
              <a16:creationId xmlns:a16="http://schemas.microsoft.com/office/drawing/2014/main" id="{3516D008-58F5-CC63-AD14-7F8F68F1FD3B}"/>
            </a:ext>
          </a:extLst>
        </xdr:cNvPr>
        <xdr:cNvSpPr txBox="1"/>
      </xdr:nvSpPr>
      <xdr:spPr>
        <a:xfrm>
          <a:off x="5269386" y="2122401"/>
          <a:ext cx="1101295" cy="25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DE" sz="1000" b="1">
              <a:solidFill>
                <a:srgbClr val="0A4174"/>
              </a:solidFill>
            </a:rPr>
            <a:t>Top</a:t>
          </a:r>
          <a:r>
            <a:rPr lang="en-DE" sz="1000" b="1" baseline="0">
              <a:solidFill>
                <a:srgbClr val="0A4174"/>
              </a:solidFill>
            </a:rPr>
            <a:t> Location</a:t>
          </a:r>
          <a:endParaRPr lang="en-US" sz="1000" b="1">
            <a:solidFill>
              <a:srgbClr val="0A4174"/>
            </a:solidFill>
          </a:endParaRPr>
        </a:p>
      </xdr:txBody>
    </xdr:sp>
    <xdr:clientData/>
  </xdr:twoCellAnchor>
  <xdr:twoCellAnchor>
    <xdr:from>
      <xdr:col>8</xdr:col>
      <xdr:colOff>386308</xdr:colOff>
      <xdr:row>15</xdr:row>
      <xdr:rowOff>11142</xdr:rowOff>
    </xdr:from>
    <xdr:to>
      <xdr:col>10</xdr:col>
      <xdr:colOff>498365</xdr:colOff>
      <xdr:row>16</xdr:row>
      <xdr:rowOff>141877</xdr:rowOff>
    </xdr:to>
    <xdr:sp macro="" textlink="">
      <xdr:nvSpPr>
        <xdr:cNvPr id="126" name="TextBox 125">
          <a:extLst>
            <a:ext uri="{FF2B5EF4-FFF2-40B4-BE49-F238E27FC236}">
              <a16:creationId xmlns:a16="http://schemas.microsoft.com/office/drawing/2014/main" id="{5A5F58A6-3278-3182-F60A-7BB74D748FB7}"/>
            </a:ext>
          </a:extLst>
        </xdr:cNvPr>
        <xdr:cNvSpPr txBox="1"/>
      </xdr:nvSpPr>
      <xdr:spPr>
        <a:xfrm>
          <a:off x="5288062" y="2851931"/>
          <a:ext cx="1337496" cy="320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DE" sz="1000" b="1">
              <a:solidFill>
                <a:srgbClr val="0A4174"/>
              </a:solidFill>
            </a:rPr>
            <a:t>Most Observed</a:t>
          </a:r>
          <a:endParaRPr lang="en-US" sz="1000" b="1">
            <a:solidFill>
              <a:srgbClr val="0A4174"/>
            </a:solidFill>
          </a:endParaRPr>
        </a:p>
      </xdr:txBody>
    </xdr:sp>
    <xdr:clientData/>
  </xdr:twoCellAnchor>
  <xdr:twoCellAnchor>
    <xdr:from>
      <xdr:col>10</xdr:col>
      <xdr:colOff>534737</xdr:colOff>
      <xdr:row>7</xdr:row>
      <xdr:rowOff>54268</xdr:rowOff>
    </xdr:from>
    <xdr:to>
      <xdr:col>17</xdr:col>
      <xdr:colOff>418948</xdr:colOff>
      <xdr:row>18</xdr:row>
      <xdr:rowOff>138312</xdr:rowOff>
    </xdr:to>
    <xdr:sp macro="" textlink="">
      <xdr:nvSpPr>
        <xdr:cNvPr id="127" name="Rectangle: Rounded Corners 126">
          <a:extLst>
            <a:ext uri="{FF2B5EF4-FFF2-40B4-BE49-F238E27FC236}">
              <a16:creationId xmlns:a16="http://schemas.microsoft.com/office/drawing/2014/main" id="{C05D7142-00C8-4CAD-A826-5C749ED89CDD}"/>
            </a:ext>
          </a:extLst>
        </xdr:cNvPr>
        <xdr:cNvSpPr/>
      </xdr:nvSpPr>
      <xdr:spPr>
        <a:xfrm>
          <a:off x="6661930" y="1379970"/>
          <a:ext cx="4173246" cy="2167289"/>
        </a:xfrm>
        <a:prstGeom prst="roundRect">
          <a:avLst>
            <a:gd name="adj" fmla="val 5259"/>
          </a:avLst>
        </a:prstGeom>
        <a:solidFill>
          <a:srgbClr val="7CCFD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579298</xdr:colOff>
      <xdr:row>7</xdr:row>
      <xdr:rowOff>89123</xdr:rowOff>
    </xdr:from>
    <xdr:to>
      <xdr:col>17</xdr:col>
      <xdr:colOff>334211</xdr:colOff>
      <xdr:row>18</xdr:row>
      <xdr:rowOff>44562</xdr:rowOff>
    </xdr:to>
    <mc:AlternateContent xmlns:mc="http://schemas.openxmlformats.org/markup-compatibility/2006">
      <mc:Choice xmlns:cx1="http://schemas.microsoft.com/office/drawing/2015/9/8/chartex" Requires="cx1">
        <xdr:graphicFrame macro="">
          <xdr:nvGraphicFramePr>
            <xdr:cNvPr id="128" name="Chart 127">
              <a:extLst>
                <a:ext uri="{FF2B5EF4-FFF2-40B4-BE49-F238E27FC236}">
                  <a16:creationId xmlns:a16="http://schemas.microsoft.com/office/drawing/2014/main" id="{2A462CC5-14D5-449F-8C5D-87A6C04EE4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706491" y="1414825"/>
              <a:ext cx="4043948" cy="20386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9.191612847222" createdVersion="8" refreshedVersion="8" minRefreshableVersion="3" recordCount="834" xr:uid="{46A4EA7E-BAB8-4775-97D8-2D13FB0003D9}">
  <cacheSource type="worksheet">
    <worksheetSource name="Table1"/>
  </cacheSource>
  <cacheFields count="11">
    <cacheField name="Animal Type" numFmtId="0">
      <sharedItems containsBlank="1" count="5">
        <s v="European Bison"/>
        <s v="Lynx"/>
        <s v="Red Squirrel"/>
        <s v="Hedgehog"/>
        <m/>
      </sharedItems>
    </cacheField>
    <cacheField name="Country" numFmtId="0">
      <sharedItems containsBlank="1" count="8">
        <s v="Poland"/>
        <s v="Hungary"/>
        <s v="Germany"/>
        <s v="Slovakia"/>
        <s v="Czech Republic"/>
        <s v="Austria"/>
        <s v="Australia"/>
        <m/>
      </sharedItems>
    </cacheField>
    <cacheField name="Weight kg" numFmtId="0">
      <sharedItems containsString="0" containsBlank="1" containsNumber="1" minValue="-0.252" maxValue="1100"/>
    </cacheField>
    <cacheField name="Body Length cm" numFmtId="0">
      <sharedItems containsString="0" containsBlank="1" containsNumber="1" containsInteger="1" minValue="11" maxValue="350"/>
    </cacheField>
    <cacheField name="Gender" numFmtId="0">
      <sharedItems containsBlank="1" count="3">
        <s v="Male"/>
        <s v="Female"/>
        <m/>
      </sharedItems>
    </cacheField>
    <cacheField name="Latitude" numFmtId="0">
      <sharedItems containsString="0" containsBlank="1" containsNumber="1" minValue="-78.582972999999996" maxValue="52.853842999999998"/>
    </cacheField>
    <cacheField name="Longitude" numFmtId="0">
      <sharedItems containsString="0" containsBlank="1" containsNumber="1" minValue="11.074007999999999" maxValue="34.896734000000002"/>
    </cacheField>
    <cacheField name="Observation date" numFmtId="0">
      <sharedItems containsNonDate="0" containsDate="1" containsString="0" containsBlank="1" minDate="2024-03-01T00:00:00" maxDate="2024-11-04T00:00:00" count="109">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5T00:00:00"/>
        <d v="2024-06-06T00:00:00"/>
        <d v="2024-06-07T00:00:00"/>
        <d v="2024-06-08T00:00:00"/>
        <d v="2024-06-10T00:00:00"/>
        <d v="2024-06-11T00:00:00"/>
        <d v="2024-06-19T00:00:00"/>
        <d v="2024-06-30T00:00:00"/>
        <d v="2024-07-03T00:00:00"/>
        <d v="2024-07-05T00:00:00"/>
        <d v="2024-08-03T00:00:00"/>
        <d v="2024-09-03T00:00:00"/>
        <d v="2024-11-03T00:00:00"/>
        <d v="2024-05-01T00:00:00"/>
        <d v="2024-05-02T00:00:00"/>
        <d v="2024-05-03T00:00:00"/>
        <d v="2024-05-04T00:00:00"/>
        <d v="2024-05-05T00:00:00"/>
        <d v="2024-05-06T00:00:00"/>
        <d v="2024-05-07T00:00:00"/>
        <d v="2024-05-08T00:00:00"/>
        <m/>
      </sharedItems>
      <fieldGroup par="10"/>
    </cacheField>
    <cacheField name="Month" numFmtId="0">
      <sharedItems/>
    </cacheField>
    <cacheField name="Data compiled by" numFmtId="0">
      <sharedItems containsBlank="1"/>
    </cacheField>
    <cacheField name="Months (Observation date)" numFmtId="0" databaseField="0">
      <fieldGroup base="7">
        <rangePr groupBy="months" startDate="2024-03-01T00:00:00" endDate="2024-11-04T00:00:00"/>
        <groupItems count="14">
          <s v="&lt;01/03/2024"/>
          <s v="Jan"/>
          <s v="Feb"/>
          <s v="Mar"/>
          <s v="Apr"/>
          <s v="May"/>
          <s v="Jun"/>
          <s v="Jul"/>
          <s v="Aug"/>
          <s v="Sept"/>
          <s v="Oct"/>
          <s v="Nov"/>
          <s v="Dec"/>
          <s v="&gt;04/11/2024"/>
        </groupItems>
      </fieldGroup>
    </cacheField>
  </cacheFields>
  <extLst>
    <ext xmlns:x14="http://schemas.microsoft.com/office/spreadsheetml/2009/9/main" uri="{725AE2AE-9491-48be-B2B4-4EB974FC3084}">
      <x14:pivotCacheDefinition pivotCacheId="1646718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4">
  <r>
    <x v="0"/>
    <x v="0"/>
    <n v="930"/>
    <n v="335"/>
    <x v="0"/>
    <n v="52.828845000000001"/>
    <n v="23.820143999999999"/>
    <x v="0"/>
    <s v="March"/>
    <s v="Anne Anthony"/>
  </r>
  <r>
    <x v="0"/>
    <x v="0"/>
    <n v="909"/>
    <n v="311"/>
    <x v="1"/>
    <n v="52.830508999999999"/>
    <n v="23.826848999999999"/>
    <x v="0"/>
    <s v="March"/>
    <s v="Anne Anthony"/>
  </r>
  <r>
    <x v="0"/>
    <x v="0"/>
    <n v="581"/>
    <n v="277"/>
    <x v="1"/>
    <n v="52.834108999999998"/>
    <n v="23.807092999999998"/>
    <x v="0"/>
    <s v="March"/>
    <s v="Anne Anthony"/>
  </r>
  <r>
    <x v="0"/>
    <x v="0"/>
    <n v="900"/>
    <n v="295"/>
    <x v="0"/>
    <n v="52.834758999999998"/>
    <n v="23.817201000000001"/>
    <x v="0"/>
    <s v="March"/>
    <s v="Anne Anthony"/>
  </r>
  <r>
    <x v="0"/>
    <x v="0"/>
    <n v="620"/>
    <n v="250"/>
    <x v="1"/>
    <n v="52.834960000000002"/>
    <n v="23.82075"/>
    <x v="0"/>
    <s v="March"/>
    <s v="Anne Anthony"/>
  </r>
  <r>
    <x v="1"/>
    <x v="1"/>
    <n v="24"/>
    <n v="76"/>
    <x v="0"/>
    <n v="48.505493999999999"/>
    <n v="20.551966"/>
    <x v="0"/>
    <s v="March"/>
    <s v="Anne Anthony"/>
  </r>
  <r>
    <x v="1"/>
    <x v="1"/>
    <n v="23"/>
    <n v="82"/>
    <x v="1"/>
    <n v="48.506529"/>
    <n v="20.554548"/>
    <x v="0"/>
    <s v="March"/>
    <s v="Anne Anthony"/>
  </r>
  <r>
    <x v="2"/>
    <x v="0"/>
    <n v="0.308"/>
    <n v="22"/>
    <x v="1"/>
    <n v="52.241273"/>
    <n v="21.055745000000002"/>
    <x v="0"/>
    <s v="March"/>
    <s v="Anne Anthony"/>
  </r>
  <r>
    <x v="2"/>
    <x v="0"/>
    <n v="0.34799999999999998"/>
    <n v="20"/>
    <x v="1"/>
    <n v="52.242060000000002"/>
    <n v="21.057801999999999"/>
    <x v="0"/>
    <s v="March"/>
    <s v="Anne Anthony"/>
  </r>
  <r>
    <x v="2"/>
    <x v="0"/>
    <n v="0.316"/>
    <n v="20"/>
    <x v="0"/>
    <n v="52.240034999999999"/>
    <n v="21.056187999999999"/>
    <x v="0"/>
    <s v="March"/>
    <s v="Anne Anthony"/>
  </r>
  <r>
    <x v="2"/>
    <x v="0"/>
    <n v="0.34"/>
    <n v="21"/>
    <x v="0"/>
    <n v="52.240284000000003"/>
    <n v="21.051947999999999"/>
    <x v="0"/>
    <s v="March"/>
    <s v="Anne Anthony"/>
  </r>
  <r>
    <x v="2"/>
    <x v="0"/>
    <n v="0.33300000000000002"/>
    <n v="21"/>
    <x v="0"/>
    <n v="49.89476007476636"/>
    <n v="11.786535411214958"/>
    <x v="0"/>
    <s v="March"/>
    <s v="Anne Anthony"/>
  </r>
  <r>
    <x v="2"/>
    <x v="0"/>
    <n v="0.26500000000000001"/>
    <n v="19"/>
    <x v="1"/>
    <n v="52.240560000000002"/>
    <n v="21.055899"/>
    <x v="0"/>
    <s v="March"/>
    <s v="Anne Anthony"/>
  </r>
  <r>
    <x v="2"/>
    <x v="0"/>
    <n v="0.32800000000000001"/>
    <n v="20"/>
    <x v="0"/>
    <n v="52.241177"/>
    <n v="21.052873000000002"/>
    <x v="0"/>
    <s v="March"/>
    <s v="Anne Anthony"/>
  </r>
  <r>
    <x v="2"/>
    <x v="0"/>
    <n v="0.26100000000000001"/>
    <n v="22"/>
    <x v="1"/>
    <n v="52.240833000000002"/>
    <n v="21.052092999999999"/>
    <x v="0"/>
    <s v="March"/>
    <s v="Anne Anthony"/>
  </r>
  <r>
    <x v="2"/>
    <x v="0"/>
    <n v="0.317"/>
    <n v="23"/>
    <x v="0"/>
    <n v="52.241357999999998"/>
    <n v="21.056352"/>
    <x v="0"/>
    <s v="March"/>
    <s v="Anne Anthony"/>
  </r>
  <r>
    <x v="2"/>
    <x v="0"/>
    <n v="0.32800000000000001"/>
    <n v="21"/>
    <x v="0"/>
    <n v="52.241905000000003"/>
    <n v="21.050726999999998"/>
    <x v="0"/>
    <s v="March"/>
    <s v="Anne Anthony"/>
  </r>
  <r>
    <x v="2"/>
    <x v="1"/>
    <n v="0.30499999999999999"/>
    <n v="21"/>
    <x v="0"/>
    <n v="47.511400999999999"/>
    <n v="18.949119"/>
    <x v="0"/>
    <s v="March"/>
    <s v="Anne Anthony"/>
  </r>
  <r>
    <x v="2"/>
    <x v="0"/>
    <n v="0.32800000000000001"/>
    <n v="23"/>
    <x v="0"/>
    <n v="52.24192"/>
    <n v="21.056346999999999"/>
    <x v="0"/>
    <s v="March"/>
    <s v="Anne Anthony"/>
  </r>
  <r>
    <x v="2"/>
    <x v="2"/>
    <n v="0.29399999999999998"/>
    <n v="19"/>
    <x v="0"/>
    <n v="49.89476007476636"/>
    <n v="11.786535411214958"/>
    <x v="0"/>
    <s v="March"/>
    <s v="Bob Bobson"/>
  </r>
  <r>
    <x v="2"/>
    <x v="2"/>
    <n v="0.25"/>
    <n v="19"/>
    <x v="1"/>
    <n v="49.89476007476636"/>
    <n v="11.786535411214958"/>
    <x v="0"/>
    <s v="March"/>
    <s v="Bob Bobson"/>
  </r>
  <r>
    <x v="2"/>
    <x v="2"/>
    <n v="0.26200000000000001"/>
    <n v="21"/>
    <x v="0"/>
    <n v="49.89476007476636"/>
    <n v="11.786535411214958"/>
    <x v="0"/>
    <s v="March"/>
    <s v="Bob Bobson"/>
  </r>
  <r>
    <x v="2"/>
    <x v="2"/>
    <n v="0.26700000000000002"/>
    <n v="21"/>
    <x v="1"/>
    <n v="49.89476007476636"/>
    <n v="11.786535411214958"/>
    <x v="0"/>
    <s v="March"/>
    <s v="Bob Bobson"/>
  </r>
  <r>
    <x v="2"/>
    <x v="2"/>
    <n v="0.26900000000000002"/>
    <n v="22"/>
    <x v="0"/>
    <n v="49.89476007476636"/>
    <n v="11.786535411214958"/>
    <x v="0"/>
    <s v="March"/>
    <s v="Bob Bobson"/>
  </r>
  <r>
    <x v="2"/>
    <x v="2"/>
    <n v="0.308"/>
    <n v="22"/>
    <x v="1"/>
    <n v="49.89476007476636"/>
    <n v="11.786535411214958"/>
    <x v="0"/>
    <s v="March"/>
    <s v="Bob Bobson"/>
  </r>
  <r>
    <x v="2"/>
    <x v="2"/>
    <n v="0.308"/>
    <n v="19"/>
    <x v="0"/>
    <n v="49.89476007476636"/>
    <n v="11.786535411214958"/>
    <x v="0"/>
    <s v="March"/>
    <s v="Bob Bobson"/>
  </r>
  <r>
    <x v="2"/>
    <x v="2"/>
    <n v="0.27"/>
    <n v="20"/>
    <x v="0"/>
    <n v="49.89476007476636"/>
    <n v="11.786535411214958"/>
    <x v="0"/>
    <s v="March"/>
    <s v="Bob Bobson"/>
  </r>
  <r>
    <x v="2"/>
    <x v="2"/>
    <n v="0.32"/>
    <n v="20"/>
    <x v="0"/>
    <n v="49.89476007476636"/>
    <n v="11.786535411214958"/>
    <x v="0"/>
    <s v="March"/>
    <s v="Bob Bobson"/>
  </r>
  <r>
    <x v="2"/>
    <x v="2"/>
    <n v="0.26200000000000001"/>
    <n v="20"/>
    <x v="0"/>
    <n v="49.89476007476636"/>
    <n v="11.786535411214958"/>
    <x v="0"/>
    <s v="March"/>
    <s v="Bob Bobson"/>
  </r>
  <r>
    <x v="2"/>
    <x v="2"/>
    <n v="0.25600000000000001"/>
    <n v="21"/>
    <x v="0"/>
    <n v="49.89476007476636"/>
    <n v="11.786535411214958"/>
    <x v="0"/>
    <s v="March"/>
    <s v="Bob Bobson"/>
  </r>
  <r>
    <x v="2"/>
    <x v="2"/>
    <n v="0.245"/>
    <n v="22"/>
    <x v="0"/>
    <n v="49.89476007476636"/>
    <n v="11.786535411214958"/>
    <x v="0"/>
    <s v="March"/>
    <s v="Bob Bobson"/>
  </r>
  <r>
    <x v="2"/>
    <x v="2"/>
    <n v="0.29199999999999998"/>
    <n v="19"/>
    <x v="0"/>
    <n v="49.89476007476636"/>
    <n v="11.786535411214958"/>
    <x v="0"/>
    <s v="March"/>
    <s v="Bob Bobson"/>
  </r>
  <r>
    <x v="2"/>
    <x v="2"/>
    <n v="0.28899999999999998"/>
    <n v="19"/>
    <x v="1"/>
    <n v="49.89476007476636"/>
    <n v="11.786535411214958"/>
    <x v="0"/>
    <s v="March"/>
    <s v="Bob Bobson"/>
  </r>
  <r>
    <x v="2"/>
    <x v="2"/>
    <n v="0.308"/>
    <n v="22"/>
    <x v="0"/>
    <n v="49.89476007476636"/>
    <n v="11.786535411214958"/>
    <x v="0"/>
    <s v="March"/>
    <s v="Bob Bobson"/>
  </r>
  <r>
    <x v="0"/>
    <x v="3"/>
    <n v="420"/>
    <n v="182"/>
    <x v="0"/>
    <n v="49.054684000000002"/>
    <n v="22.417189"/>
    <x v="0"/>
    <s v="March"/>
    <s v="John Johnson"/>
  </r>
  <r>
    <x v="0"/>
    <x v="3"/>
    <n v="511"/>
    <n v="266"/>
    <x v="1"/>
    <n v="49.053629000000001"/>
    <n v="22.421831000000001"/>
    <x v="0"/>
    <s v="March"/>
    <s v="John Johnson"/>
  </r>
  <r>
    <x v="0"/>
    <x v="3"/>
    <n v="814"/>
    <n v="288"/>
    <x v="0"/>
    <n v="49.053488999999999"/>
    <n v="22.415229"/>
    <x v="0"/>
    <s v="March"/>
    <s v="John Johnson"/>
  </r>
  <r>
    <x v="0"/>
    <x v="3"/>
    <n v="130"/>
    <n v="141"/>
    <x v="1"/>
    <n v="49.054166000000002"/>
    <n v="22.422851999999999"/>
    <x v="0"/>
    <s v="March"/>
    <s v="John Johnson"/>
  </r>
  <r>
    <x v="0"/>
    <x v="3"/>
    <n v="390"/>
    <n v="180"/>
    <x v="1"/>
    <n v="49.052731000000001"/>
    <n v="22.422675000000002"/>
    <x v="0"/>
    <s v="March"/>
    <s v="John Johnson"/>
  </r>
  <r>
    <x v="0"/>
    <x v="3"/>
    <n v="355"/>
    <n v="179"/>
    <x v="0"/>
    <n v="49.055973999999999"/>
    <n v="22.415984999999999"/>
    <x v="0"/>
    <s v="March"/>
    <s v="John Johnson"/>
  </r>
  <r>
    <x v="0"/>
    <x v="3"/>
    <n v="566"/>
    <n v="272"/>
    <x v="1"/>
    <n v="49.053342000000001"/>
    <n v="22.423867000000001"/>
    <x v="0"/>
    <s v="March"/>
    <s v="John Johnson"/>
  </r>
  <r>
    <x v="0"/>
    <x v="3"/>
    <n v="393"/>
    <n v="152"/>
    <x v="1"/>
    <n v="49.056471000000002"/>
    <n v="22.422474999999999"/>
    <x v="0"/>
    <s v="March"/>
    <s v="John Johnson"/>
  </r>
  <r>
    <x v="0"/>
    <x v="4"/>
    <n v="823"/>
    <n v="286"/>
    <x v="0"/>
    <n v="50.636564"/>
    <n v="14.834553"/>
    <x v="0"/>
    <s v="March"/>
    <s v="John Johnson"/>
  </r>
  <r>
    <x v="0"/>
    <x v="3"/>
    <n v="695"/>
    <n v="316"/>
    <x v="0"/>
    <n v="49.055537000000001"/>
    <n v="22.419428"/>
    <x v="0"/>
    <s v="March"/>
    <s v="John Johnson"/>
  </r>
  <r>
    <x v="3"/>
    <x v="4"/>
    <n v="0.6"/>
    <n v="20"/>
    <x v="1"/>
    <n v="50.636868999999997"/>
    <n v="14.844555"/>
    <x v="0"/>
    <s v="March"/>
    <s v="John Johnson"/>
  </r>
  <r>
    <x v="3"/>
    <x v="4"/>
    <n v="0.6"/>
    <n v="16"/>
    <x v="0"/>
    <n v="50.644733000000002"/>
    <n v="14.835753"/>
    <x v="0"/>
    <s v="March"/>
    <s v="John Johnson"/>
  </r>
  <r>
    <x v="3"/>
    <x v="4"/>
    <n v="1.2"/>
    <n v="31"/>
    <x v="0"/>
    <n v="50.635765999999997"/>
    <n v="14.844246999999999"/>
    <x v="0"/>
    <s v="March"/>
    <s v="John Johnson"/>
  </r>
  <r>
    <x v="2"/>
    <x v="3"/>
    <n v="0.27500000000000002"/>
    <n v="23"/>
    <x v="0"/>
    <n v="48.185352999999999"/>
    <n v="17.083220000000001"/>
    <x v="0"/>
    <s v="March"/>
    <s v="John Johnson"/>
  </r>
  <r>
    <x v="3"/>
    <x v="4"/>
    <n v="0.9"/>
    <n v="22"/>
    <x v="0"/>
    <n v="50.642842999999999"/>
    <n v="14.841240000000001"/>
    <x v="0"/>
    <s v="March"/>
    <s v="John Johnson"/>
  </r>
  <r>
    <x v="1"/>
    <x v="1"/>
    <n v="23"/>
    <n v="78"/>
    <x v="1"/>
    <n v="48.504128000000001"/>
    <n v="20.568479"/>
    <x v="1"/>
    <s v="March"/>
    <s v="Anne Anthony"/>
  </r>
  <r>
    <x v="1"/>
    <x v="0"/>
    <n v="29"/>
    <n v="94"/>
    <x v="0"/>
    <n v="52.809851000000002"/>
    <n v="23.858070999999999"/>
    <x v="1"/>
    <s v="March"/>
    <s v="Anne Anthony"/>
  </r>
  <r>
    <x v="2"/>
    <x v="2"/>
    <n v="0.24399999999999999"/>
    <n v="22"/>
    <x v="1"/>
    <n v="49.89476007476636"/>
    <n v="11.786535411214958"/>
    <x v="1"/>
    <s v="March"/>
    <s v="Bob Bobson"/>
  </r>
  <r>
    <x v="2"/>
    <x v="2"/>
    <n v="0.29899999999999999"/>
    <n v="21"/>
    <x v="0"/>
    <n v="49.89476007476636"/>
    <n v="11.786535411214958"/>
    <x v="1"/>
    <s v="March"/>
    <s v="Bob Bobson"/>
  </r>
  <r>
    <x v="2"/>
    <x v="2"/>
    <n v="0.28399999999999997"/>
    <n v="20"/>
    <x v="1"/>
    <n v="49.89476007476636"/>
    <n v="11.786535411214958"/>
    <x v="1"/>
    <s v="March"/>
    <s v="Bob Bobson"/>
  </r>
  <r>
    <x v="2"/>
    <x v="2"/>
    <n v="0.28899999999999998"/>
    <n v="20"/>
    <x v="1"/>
    <n v="49.89476007476636"/>
    <n v="11.786535411214958"/>
    <x v="1"/>
    <s v="March"/>
    <s v="Bob Bobson"/>
  </r>
  <r>
    <x v="2"/>
    <x v="2"/>
    <n v="0.28399999999999997"/>
    <n v="21"/>
    <x v="0"/>
    <n v="49.89476007476636"/>
    <n v="11.786535411214958"/>
    <x v="1"/>
    <s v="March"/>
    <s v="Bob Bobson"/>
  </r>
  <r>
    <x v="2"/>
    <x v="2"/>
    <n v="0.314"/>
    <n v="22"/>
    <x v="0"/>
    <n v="49.89476007476636"/>
    <n v="11.786535411214958"/>
    <x v="1"/>
    <s v="March"/>
    <s v="Bob Bobson"/>
  </r>
  <r>
    <x v="2"/>
    <x v="2"/>
    <n v="0.26200000000000001"/>
    <n v="19"/>
    <x v="1"/>
    <n v="49.89476007476636"/>
    <n v="11.786535411214958"/>
    <x v="1"/>
    <s v="March"/>
    <s v="Bob Bobson"/>
  </r>
  <r>
    <x v="2"/>
    <x v="2"/>
    <n v="0.25800000000000001"/>
    <n v="20"/>
    <x v="0"/>
    <n v="49.89476007476636"/>
    <n v="11.786535411214958"/>
    <x v="1"/>
    <s v="March"/>
    <s v="Bob Bobson"/>
  </r>
  <r>
    <x v="2"/>
    <x v="2"/>
    <n v="0.29699999999999999"/>
    <n v="21"/>
    <x v="0"/>
    <n v="49.89476007476636"/>
    <n v="11.786535411214958"/>
    <x v="1"/>
    <s v="March"/>
    <s v="Bob Bobson"/>
  </r>
  <r>
    <x v="2"/>
    <x v="2"/>
    <n v="0.255"/>
    <n v="22"/>
    <x v="1"/>
    <n v="49.89476007476636"/>
    <n v="11.786535411214958"/>
    <x v="1"/>
    <s v="March"/>
    <s v="Bob Bobson"/>
  </r>
  <r>
    <x v="2"/>
    <x v="2"/>
    <n v="0.28000000000000003"/>
    <n v="22"/>
    <x v="0"/>
    <n v="49.89476007476636"/>
    <n v="11.786535411214958"/>
    <x v="1"/>
    <s v="March"/>
    <s v="Bob Bobson"/>
  </r>
  <r>
    <x v="2"/>
    <x v="2"/>
    <n v="0.29299999999999998"/>
    <n v="22"/>
    <x v="0"/>
    <n v="49.89476007476636"/>
    <n v="11.786535411214958"/>
    <x v="1"/>
    <s v="March"/>
    <s v="Bob Bobson"/>
  </r>
  <r>
    <x v="2"/>
    <x v="2"/>
    <n v="0.29499999999999998"/>
    <n v="20"/>
    <x v="0"/>
    <n v="49.89476007476636"/>
    <n v="11.786535411214958"/>
    <x v="1"/>
    <s v="March"/>
    <s v="Bob Bobson"/>
  </r>
  <r>
    <x v="2"/>
    <x v="2"/>
    <n v="0.28000000000000003"/>
    <n v="20"/>
    <x v="0"/>
    <n v="49.89476007476636"/>
    <n v="11.786535411214958"/>
    <x v="1"/>
    <s v="March"/>
    <s v="Bob Bobson"/>
  </r>
  <r>
    <x v="2"/>
    <x v="2"/>
    <n v="0.28100000000000003"/>
    <n v="20"/>
    <x v="0"/>
    <n v="49.89476007476636"/>
    <n v="11.786535411214958"/>
    <x v="1"/>
    <s v="March"/>
    <s v="Bob Bobson"/>
  </r>
  <r>
    <x v="2"/>
    <x v="2"/>
    <n v="0.245"/>
    <n v="21"/>
    <x v="1"/>
    <n v="49.89476007476636"/>
    <n v="11.786535411214958"/>
    <x v="1"/>
    <s v="March"/>
    <s v="Bob Bobson"/>
  </r>
  <r>
    <x v="2"/>
    <x v="2"/>
    <n v="0.28299999999999997"/>
    <n v="21"/>
    <x v="0"/>
    <n v="49.89476007476636"/>
    <n v="11.786535411214958"/>
    <x v="1"/>
    <s v="March"/>
    <s v="Bob Bobson"/>
  </r>
  <r>
    <x v="2"/>
    <x v="2"/>
    <n v="0.27"/>
    <n v="19"/>
    <x v="0"/>
    <n v="49.89476007476636"/>
    <n v="11.786535411214958"/>
    <x v="1"/>
    <s v="March"/>
    <s v="Bob Bobson"/>
  </r>
  <r>
    <x v="2"/>
    <x v="2"/>
    <n v="0.315"/>
    <n v="22"/>
    <x v="0"/>
    <n v="49.89476007476636"/>
    <n v="11.786535411214958"/>
    <x v="1"/>
    <s v="March"/>
    <s v="Bob Bobson"/>
  </r>
  <r>
    <x v="2"/>
    <x v="2"/>
    <n v="0.254"/>
    <n v="17"/>
    <x v="1"/>
    <n v="49.89476007476636"/>
    <n v="11.786535411214958"/>
    <x v="1"/>
    <s v="March"/>
    <s v="Bob Bobson"/>
  </r>
  <r>
    <x v="2"/>
    <x v="2"/>
    <n v="0.249"/>
    <n v="19"/>
    <x v="0"/>
    <n v="49.89476007476636"/>
    <n v="11.786535411214958"/>
    <x v="1"/>
    <s v="March"/>
    <s v="Bob Bobson"/>
  </r>
  <r>
    <x v="2"/>
    <x v="2"/>
    <n v="0.29799999999999999"/>
    <n v="21"/>
    <x v="0"/>
    <n v="49.89476007476636"/>
    <n v="11.786535411214958"/>
    <x v="1"/>
    <s v="March"/>
    <s v="Bob Bobson"/>
  </r>
  <r>
    <x v="2"/>
    <x v="2"/>
    <n v="0.314"/>
    <n v="19"/>
    <x v="1"/>
    <n v="49.89476007476636"/>
    <n v="11.786535411214958"/>
    <x v="1"/>
    <s v="March"/>
    <s v="Bob Bobson"/>
  </r>
  <r>
    <x v="2"/>
    <x v="2"/>
    <n v="0.251"/>
    <n v="19"/>
    <x v="0"/>
    <n v="49.89476007476636"/>
    <n v="11.786535411214958"/>
    <x v="1"/>
    <s v="March"/>
    <s v="Bob Bobson"/>
  </r>
  <r>
    <x v="2"/>
    <x v="2"/>
    <n v="0.29299999999999998"/>
    <n v="20"/>
    <x v="1"/>
    <n v="49.89476007476636"/>
    <n v="11.786535411214958"/>
    <x v="1"/>
    <s v="March"/>
    <s v="Bob Bobson"/>
  </r>
  <r>
    <x v="2"/>
    <x v="2"/>
    <n v="0.30099999999999999"/>
    <n v="20"/>
    <x v="0"/>
    <n v="49.89476007476636"/>
    <n v="11.786535411214958"/>
    <x v="1"/>
    <s v="March"/>
    <s v="Bob Bobson"/>
  </r>
  <r>
    <x v="2"/>
    <x v="2"/>
    <n v="0.27100000000000002"/>
    <n v="17"/>
    <x v="0"/>
    <n v="49.89476007476636"/>
    <n v="11.786535411214958"/>
    <x v="1"/>
    <s v="March"/>
    <s v="Bob Bobson"/>
  </r>
  <r>
    <x v="2"/>
    <x v="2"/>
    <n v="0.27500000000000002"/>
    <n v="20"/>
    <x v="0"/>
    <n v="49.89476007476636"/>
    <n v="11.786535411214958"/>
    <x v="1"/>
    <s v="March"/>
    <s v="Bob Bobson"/>
  </r>
  <r>
    <x v="2"/>
    <x v="2"/>
    <n v="0.30399999999999999"/>
    <n v="21"/>
    <x v="0"/>
    <n v="49.89476007476636"/>
    <n v="11.786535411214958"/>
    <x v="1"/>
    <s v="March"/>
    <s v="Bob Bobson"/>
  </r>
  <r>
    <x v="2"/>
    <x v="2"/>
    <n v="0.308"/>
    <n v="20"/>
    <x v="0"/>
    <n v="49.89476007476636"/>
    <n v="11.786535411214958"/>
    <x v="1"/>
    <s v="March"/>
    <s v="Bob Bobson"/>
  </r>
  <r>
    <x v="2"/>
    <x v="2"/>
    <n v="0.24"/>
    <n v="21"/>
    <x v="0"/>
    <n v="49.89476007476636"/>
    <n v="11.786535411214958"/>
    <x v="1"/>
    <s v="March"/>
    <s v="Bob Bobson"/>
  </r>
  <r>
    <x v="0"/>
    <x v="4"/>
    <n v="402"/>
    <n v="162"/>
    <x v="1"/>
    <n v="50.641007999999999"/>
    <n v="14.836529000000001"/>
    <x v="1"/>
    <s v="March"/>
    <s v="John Johnson"/>
  </r>
  <r>
    <x v="0"/>
    <x v="4"/>
    <n v="535"/>
    <n v="295"/>
    <x v="0"/>
    <n v="50.643405999999999"/>
    <n v="14.836494999999999"/>
    <x v="1"/>
    <s v="March"/>
    <s v="John Johnson"/>
  </r>
  <r>
    <x v="0"/>
    <x v="4"/>
    <n v="572"/>
    <n v="251"/>
    <x v="1"/>
    <n v="50.638945"/>
    <n v="14.845452"/>
    <x v="1"/>
    <s v="March"/>
    <s v="John Johnson"/>
  </r>
  <r>
    <x v="3"/>
    <x v="4"/>
    <n v="0.9"/>
    <n v="20"/>
    <x v="1"/>
    <n v="50.639868999999997"/>
    <n v="14.849702000000001"/>
    <x v="1"/>
    <s v="March"/>
    <s v="John Johnson"/>
  </r>
  <r>
    <x v="3"/>
    <x v="4"/>
    <n v="0.7"/>
    <n v="16"/>
    <x v="1"/>
    <n v="50.643039000000002"/>
    <n v="14.840662"/>
    <x v="1"/>
    <s v="March"/>
    <s v="John Johnson"/>
  </r>
  <r>
    <x v="3"/>
    <x v="4"/>
    <n v="0.7"/>
    <n v="14"/>
    <x v="1"/>
    <n v="50.637878999999998"/>
    <n v="14.838429"/>
    <x v="1"/>
    <s v="March"/>
    <s v="John Johnson"/>
  </r>
  <r>
    <x v="3"/>
    <x v="4"/>
    <n v="1.1000000000000001"/>
    <n v="32"/>
    <x v="0"/>
    <n v="50.643253999999999"/>
    <n v="14.843730000000001"/>
    <x v="1"/>
    <s v="March"/>
    <s v="John Johnson"/>
  </r>
  <r>
    <x v="3"/>
    <x v="4"/>
    <n v="0.5"/>
    <n v="20"/>
    <x v="0"/>
    <n v="50.643853999999997"/>
    <n v="14.837154999999999"/>
    <x v="1"/>
    <s v="March"/>
    <s v="John Johnson"/>
  </r>
  <r>
    <x v="3"/>
    <x v="4"/>
    <n v="1.1000000000000001"/>
    <n v="22"/>
    <x v="1"/>
    <n v="50.635584000000001"/>
    <n v="14.837071999999999"/>
    <x v="1"/>
    <s v="March"/>
    <s v="John Johnson"/>
  </r>
  <r>
    <x v="3"/>
    <x v="4"/>
    <n v="1"/>
    <n v="20"/>
    <x v="1"/>
    <n v="50.642722999999997"/>
    <n v="14.837229000000001"/>
    <x v="1"/>
    <s v="March"/>
    <s v="John Johnson"/>
  </r>
  <r>
    <x v="3"/>
    <x v="4"/>
    <n v="0.7"/>
    <n v="13"/>
    <x v="1"/>
    <n v="50.639389000000001"/>
    <n v="14.8444"/>
    <x v="1"/>
    <s v="March"/>
    <s v="John Johnson"/>
  </r>
  <r>
    <x v="1"/>
    <x v="3"/>
    <n v="30"/>
    <n v="120"/>
    <x v="0"/>
    <n v="48.409308000000003"/>
    <n v="18.832605999999998"/>
    <x v="1"/>
    <s v="March"/>
    <s v="John Johnson"/>
  </r>
  <r>
    <x v="2"/>
    <x v="1"/>
    <n v="0.26200000000000001"/>
    <n v="20"/>
    <x v="1"/>
    <n v="47.510798999999999"/>
    <n v="18.945582999999999"/>
    <x v="2"/>
    <s v="March"/>
    <s v="Anne Anthony"/>
  </r>
  <r>
    <x v="3"/>
    <x v="4"/>
    <n v="0.6"/>
    <n v="20"/>
    <x v="0"/>
    <n v="50.637374999999999"/>
    <n v="14.839784999999999"/>
    <x v="2"/>
    <s v="March"/>
    <s v="John Johnson"/>
  </r>
  <r>
    <x v="1"/>
    <x v="3"/>
    <n v="28"/>
    <n v="131"/>
    <x v="0"/>
    <n v="48.406303999999999"/>
    <n v="18.842851"/>
    <x v="2"/>
    <s v="March"/>
    <s v="John Johnson"/>
  </r>
  <r>
    <x v="2"/>
    <x v="3"/>
    <n v="0.28100000000000003"/>
    <n v="18"/>
    <x v="0"/>
    <n v="48.187690000000003"/>
    <n v="17.086471"/>
    <x v="2"/>
    <s v="March"/>
    <s v="John Johnson"/>
  </r>
  <r>
    <x v="0"/>
    <x v="0"/>
    <n v="650"/>
    <n v="285"/>
    <x v="1"/>
    <n v="52.834741000000001"/>
    <n v="23.826716000000001"/>
    <x v="3"/>
    <s v="March"/>
    <s v="Anne Anthony"/>
  </r>
  <r>
    <x v="3"/>
    <x v="1"/>
    <n v="1.1000000000000001"/>
    <n v="24"/>
    <x v="0"/>
    <n v="48.503794999999997"/>
    <n v="20.555931999999999"/>
    <x v="3"/>
    <s v="March"/>
    <s v="Anne Anthony"/>
  </r>
  <r>
    <x v="3"/>
    <x v="1"/>
    <n v="1.1000000000000001"/>
    <n v="26"/>
    <x v="1"/>
    <n v="48.503062"/>
    <n v="20.551697999999998"/>
    <x v="3"/>
    <s v="March"/>
    <s v="Anne Anthony"/>
  </r>
  <r>
    <x v="3"/>
    <x v="1"/>
    <n v="0.8"/>
    <n v="18"/>
    <x v="1"/>
    <n v="48.503498"/>
    <n v="20.539662"/>
    <x v="3"/>
    <s v="March"/>
    <s v="Anne Anthony"/>
  </r>
  <r>
    <x v="3"/>
    <x v="1"/>
    <n v="1.2"/>
    <n v="26"/>
    <x v="0"/>
    <n v="48.509298000000001"/>
    <n v="20.551977000000001"/>
    <x v="3"/>
    <s v="March"/>
    <s v="Anne Anthony"/>
  </r>
  <r>
    <x v="3"/>
    <x v="0"/>
    <n v="0.9"/>
    <n v="22"/>
    <x v="0"/>
    <n v="52.214678999999997"/>
    <n v="21.033021000000002"/>
    <x v="3"/>
    <s v="March"/>
    <s v="Anne Anthony"/>
  </r>
  <r>
    <x v="1"/>
    <x v="1"/>
    <n v="25"/>
    <n v="89"/>
    <x v="0"/>
    <n v="48.504168999999997"/>
    <n v="20.559452"/>
    <x v="3"/>
    <s v="March"/>
    <s v="Anne Anthony"/>
  </r>
  <r>
    <x v="2"/>
    <x v="1"/>
    <n v="0.28299999999999997"/>
    <n v="18"/>
    <x v="1"/>
    <n v="48.505251000000001"/>
    <n v="20.551473000000001"/>
    <x v="3"/>
    <s v="March"/>
    <s v="Anne Anthony"/>
  </r>
  <r>
    <x v="2"/>
    <x v="1"/>
    <n v="0.307"/>
    <n v="19"/>
    <x v="0"/>
    <n v="49.89476007476636"/>
    <n v="11.786535411214958"/>
    <x v="3"/>
    <s v="March"/>
    <s v="Anne Anthony"/>
  </r>
  <r>
    <x v="2"/>
    <x v="1"/>
    <n v="0.29599999999999999"/>
    <n v="22"/>
    <x v="0"/>
    <n v="48.502583999999999"/>
    <n v="20.532518"/>
    <x v="3"/>
    <s v="March"/>
    <s v="Anne Anthony"/>
  </r>
  <r>
    <x v="2"/>
    <x v="1"/>
    <n v="0.30099999999999999"/>
    <n v="18"/>
    <x v="1"/>
    <n v="48.505512000000003"/>
    <n v="20.538038"/>
    <x v="3"/>
    <s v="March"/>
    <s v="Anne Anthony"/>
  </r>
  <r>
    <x v="2"/>
    <x v="1"/>
    <n v="0.29499999999999998"/>
    <n v="17"/>
    <x v="0"/>
    <n v="48.505780000000001"/>
    <n v="20.546465999999999"/>
    <x v="3"/>
    <s v="March"/>
    <s v="Anne Anthony"/>
  </r>
  <r>
    <x v="2"/>
    <x v="1"/>
    <n v="0.32"/>
    <n v="18"/>
    <x v="0"/>
    <n v="48.502091"/>
    <n v="20.547521"/>
    <x v="3"/>
    <s v="March"/>
    <s v="Anne Anthony"/>
  </r>
  <r>
    <x v="2"/>
    <x v="1"/>
    <n v="0.28000000000000003"/>
    <n v="19"/>
    <x v="1"/>
    <n v="48.505493999999999"/>
    <n v="20.536362"/>
    <x v="3"/>
    <s v="March"/>
    <s v="Anne Anthony"/>
  </r>
  <r>
    <x v="2"/>
    <x v="0"/>
    <n v="0.33"/>
    <n v="24"/>
    <x v="0"/>
    <n v="52.241202999999999"/>
    <n v="21.050999000000001"/>
    <x v="3"/>
    <s v="March"/>
    <s v="Anne Anthony"/>
  </r>
  <r>
    <x v="2"/>
    <x v="0"/>
    <n v="0.3"/>
    <n v="22"/>
    <x v="1"/>
    <n v="52.240017999999999"/>
    <n v="21.052389999999999"/>
    <x v="3"/>
    <s v="March"/>
    <s v="Anne Anthony"/>
  </r>
  <r>
    <x v="2"/>
    <x v="0"/>
    <n v="0.28299999999999997"/>
    <n v="17"/>
    <x v="1"/>
    <n v="52.239930999999999"/>
    <n v="21.056702999999999"/>
    <x v="3"/>
    <s v="March"/>
    <s v="Anne Anthony"/>
  </r>
  <r>
    <x v="2"/>
    <x v="0"/>
    <n v="0.34100000000000003"/>
    <n v="21"/>
    <x v="0"/>
    <n v="52.241855999999999"/>
    <n v="21.053077999999999"/>
    <x v="3"/>
    <s v="March"/>
    <s v="Anne Anthony"/>
  </r>
  <r>
    <x v="2"/>
    <x v="0"/>
    <n v="0.35"/>
    <n v="24"/>
    <x v="0"/>
    <n v="52.240453000000002"/>
    <n v="21.055847"/>
    <x v="3"/>
    <s v="March"/>
    <s v="Anne Anthony"/>
  </r>
  <r>
    <x v="2"/>
    <x v="0"/>
    <n v="0.29099999999999998"/>
    <n v="21"/>
    <x v="0"/>
    <n v="52.241661999999998"/>
    <n v="21.056429999999999"/>
    <x v="3"/>
    <s v="March"/>
    <s v="Anne Anthony"/>
  </r>
  <r>
    <x v="2"/>
    <x v="0"/>
    <n v="0.32900000000000001"/>
    <n v="22"/>
    <x v="1"/>
    <n v="52.241638000000002"/>
    <n v="21.055997999999999"/>
    <x v="3"/>
    <s v="March"/>
    <s v="Anne Anthony"/>
  </r>
  <r>
    <x v="2"/>
    <x v="1"/>
    <n v="0.32700000000000001"/>
    <n v="18"/>
    <x v="1"/>
    <n v="48.502803"/>
    <n v="20.548667999999999"/>
    <x v="3"/>
    <s v="March"/>
    <s v="Anne Anthony"/>
  </r>
  <r>
    <x v="2"/>
    <x v="0"/>
    <n v="0.35"/>
    <n v="24"/>
    <x v="0"/>
    <n v="52.240496999999998"/>
    <n v="21.055990999999999"/>
    <x v="3"/>
    <s v="March"/>
    <s v="Anne Anthony"/>
  </r>
  <r>
    <x v="3"/>
    <x v="4"/>
    <n v="0.6"/>
    <n v="17"/>
    <x v="0"/>
    <n v="50.635500999999998"/>
    <n v="14.838158"/>
    <x v="3"/>
    <s v="March"/>
    <s v="John Johnson"/>
  </r>
  <r>
    <x v="3"/>
    <x v="4"/>
    <n v="0.9"/>
    <n v="22"/>
    <x v="1"/>
    <n v="50.638142000000002"/>
    <n v="14.849689"/>
    <x v="3"/>
    <s v="March"/>
    <s v="John Johnson"/>
  </r>
  <r>
    <x v="2"/>
    <x v="4"/>
    <n v="0.28899999999999998"/>
    <n v="21"/>
    <x v="1"/>
    <n v="49.937871999999999"/>
    <n v="14.179824999999999"/>
    <x v="3"/>
    <s v="March"/>
    <s v="John Johnson"/>
  </r>
  <r>
    <x v="2"/>
    <x v="3"/>
    <n v="0.29699999999999999"/>
    <n v="20"/>
    <x v="1"/>
    <n v="48.185194000000003"/>
    <n v="17.083141999999999"/>
    <x v="3"/>
    <s v="March"/>
    <s v="John Johnson"/>
  </r>
  <r>
    <x v="1"/>
    <x v="1"/>
    <n v="24"/>
    <n v="79"/>
    <x v="0"/>
    <n v="48.503042999999998"/>
    <n v="20.561567"/>
    <x v="4"/>
    <s v="March"/>
    <s v="Anne Anthony"/>
  </r>
  <r>
    <x v="2"/>
    <x v="0"/>
    <n v="0.30099999999999999"/>
    <n v="23"/>
    <x v="1"/>
    <n v="52.240867000000001"/>
    <n v="21.054338999999999"/>
    <x v="4"/>
    <s v="March"/>
    <s v="Anne Anthony"/>
  </r>
  <r>
    <x v="2"/>
    <x v="0"/>
    <n v="0.34399999999999997"/>
    <n v="20"/>
    <x v="0"/>
    <n v="52.240521999999999"/>
    <n v="21.057552000000001"/>
    <x v="4"/>
    <s v="March"/>
    <s v="Anne Anthony"/>
  </r>
  <r>
    <x v="2"/>
    <x v="1"/>
    <n v="0.253"/>
    <n v="19"/>
    <x v="0"/>
    <n v="47.507002"/>
    <n v="18.950091"/>
    <x v="4"/>
    <s v="March"/>
    <s v="Anne Anthony"/>
  </r>
  <r>
    <x v="2"/>
    <x v="1"/>
    <n v="0.29299999999999998"/>
    <n v="18"/>
    <x v="1"/>
    <n v="47.507556999999998"/>
    <n v="18.942066000000001"/>
    <x v="4"/>
    <s v="March"/>
    <s v="Anne Anthony"/>
  </r>
  <r>
    <x v="4"/>
    <x v="5"/>
    <n v="0.26300000000000001"/>
    <n v="22"/>
    <x v="0"/>
    <n v="49.89476007476636"/>
    <n v="11.786535411214958"/>
    <x v="4"/>
    <s v="March"/>
    <s v="Bob Bobson"/>
  </r>
  <r>
    <x v="3"/>
    <x v="4"/>
    <n v="0.9"/>
    <n v="19"/>
    <x v="1"/>
    <n v="50.107284"/>
    <n v="14.346126999999999"/>
    <x v="4"/>
    <s v="March"/>
    <s v="John Johnson"/>
  </r>
  <r>
    <x v="1"/>
    <x v="3"/>
    <n v="23"/>
    <n v="97"/>
    <x v="1"/>
    <n v="48.413226000000002"/>
    <n v="18.848127999999999"/>
    <x v="4"/>
    <s v="March"/>
    <s v="John Johnson"/>
  </r>
  <r>
    <x v="2"/>
    <x v="3"/>
    <n v="0.33300000000000002"/>
    <n v="23"/>
    <x v="0"/>
    <n v="48.409022999999998"/>
    <n v="18.843990000000002"/>
    <x v="4"/>
    <s v="March"/>
    <s v="John Johnson"/>
  </r>
  <r>
    <x v="2"/>
    <x v="3"/>
    <n v="0.32"/>
    <n v="17"/>
    <x v="0"/>
    <n v="48.406733000000003"/>
    <n v="18.838754000000002"/>
    <x v="4"/>
    <s v="March"/>
    <s v="John Johnson"/>
  </r>
  <r>
    <x v="2"/>
    <x v="3"/>
    <n v="0.26600000000000001"/>
    <n v="18"/>
    <x v="1"/>
    <n v="48.404589999999999"/>
    <n v="18.846848999999999"/>
    <x v="4"/>
    <s v="March"/>
    <s v="John Johnson"/>
  </r>
  <r>
    <x v="2"/>
    <x v="3"/>
    <n v="0.30599999999999999"/>
    <n v="22"/>
    <x v="0"/>
    <n v="48.408318000000001"/>
    <n v="18.844383000000001"/>
    <x v="4"/>
    <s v="March"/>
    <s v="John Johnson"/>
  </r>
  <r>
    <x v="2"/>
    <x v="3"/>
    <n v="0.311"/>
    <n v="22"/>
    <x v="0"/>
    <n v="48.412458000000001"/>
    <n v="18.832425000000001"/>
    <x v="4"/>
    <s v="March"/>
    <s v="John Johnson"/>
  </r>
  <r>
    <x v="2"/>
    <x v="3"/>
    <n v="0.29099999999999998"/>
    <n v="22"/>
    <x v="1"/>
    <n v="48.406551"/>
    <n v="18.837136999999998"/>
    <x v="4"/>
    <s v="March"/>
    <s v="John Johnson"/>
  </r>
  <r>
    <x v="2"/>
    <x v="3"/>
    <n v="0.25900000000000001"/>
    <n v="19"/>
    <x v="0"/>
    <n v="48.405515999999999"/>
    <n v="18.850994"/>
    <x v="4"/>
    <s v="March"/>
    <s v="John Johnson"/>
  </r>
  <r>
    <x v="0"/>
    <x v="0"/>
    <n v="454"/>
    <n v="225"/>
    <x v="1"/>
    <n v="52.834423000000001"/>
    <n v="23.827103000000001"/>
    <x v="5"/>
    <s v="March"/>
    <s v="Anne Anthony"/>
  </r>
  <r>
    <x v="3"/>
    <x v="0"/>
    <n v="1.1000000000000001"/>
    <n v="22"/>
    <x v="1"/>
    <n v="52.214520999999998"/>
    <n v="21.031889"/>
    <x v="5"/>
    <s v="March"/>
    <s v="Anne Anthony"/>
  </r>
  <r>
    <x v="3"/>
    <x v="0"/>
    <n v="0.9"/>
    <n v="21"/>
    <x v="0"/>
    <n v="52.214934"/>
    <n v="21.032105999999999"/>
    <x v="5"/>
    <s v="March"/>
    <s v="Anne Anthony"/>
  </r>
  <r>
    <x v="1"/>
    <x v="1"/>
    <n v="18"/>
    <n v="81"/>
    <x v="1"/>
    <n v="48.511532000000003"/>
    <n v="20.539111999999999"/>
    <x v="5"/>
    <s v="March"/>
    <s v="Anne Anthony"/>
  </r>
  <r>
    <x v="2"/>
    <x v="0"/>
    <n v="0.34300000000000003"/>
    <n v="23"/>
    <x v="0"/>
    <n v="52.241638000000002"/>
    <n v="21.057328999999999"/>
    <x v="5"/>
    <s v="March"/>
    <s v="Anne Anthony"/>
  </r>
  <r>
    <x v="2"/>
    <x v="0"/>
    <n v="0.27400000000000002"/>
    <n v="22"/>
    <x v="1"/>
    <n v="52.241235000000003"/>
    <n v="21.057355999999999"/>
    <x v="5"/>
    <s v="March"/>
    <s v="Anne Anthony"/>
  </r>
  <r>
    <x v="3"/>
    <x v="4"/>
    <n v="0.6"/>
    <n v="17"/>
    <x v="1"/>
    <n v="50.106941999999997"/>
    <n v="14.348502"/>
    <x v="5"/>
    <s v="March"/>
    <s v="John Johnson"/>
  </r>
  <r>
    <x v="3"/>
    <x v="4"/>
    <n v="0.4"/>
    <n v="12"/>
    <x v="1"/>
    <n v="50.107222999999998"/>
    <n v="14.34732"/>
    <x v="5"/>
    <s v="March"/>
    <s v="John Johnson"/>
  </r>
  <r>
    <x v="3"/>
    <x v="4"/>
    <n v="1.1000000000000001"/>
    <n v="26"/>
    <x v="0"/>
    <n v="50.106378999999997"/>
    <n v="14.347645"/>
    <x v="5"/>
    <s v="March"/>
    <s v="John Johnson"/>
  </r>
  <r>
    <x v="3"/>
    <x v="4"/>
    <n v="0.8"/>
    <n v="22"/>
    <x v="0"/>
    <n v="50.106579000000004"/>
    <n v="14.346283"/>
    <x v="5"/>
    <s v="March"/>
    <s v="John Johnson"/>
  </r>
  <r>
    <x v="2"/>
    <x v="3"/>
    <n v="0.33400000000000002"/>
    <n v="21"/>
    <x v="0"/>
    <n v="48.188008000000004"/>
    <n v="17.085311999999998"/>
    <x v="5"/>
    <s v="March"/>
    <s v="John Johnson"/>
  </r>
  <r>
    <x v="2"/>
    <x v="3"/>
    <n v="0.307"/>
    <n v="23"/>
    <x v="1"/>
    <n v="48.185298000000003"/>
    <n v="17.084071999999999"/>
    <x v="5"/>
    <s v="March"/>
    <s v="John Johnson"/>
  </r>
  <r>
    <x v="0"/>
    <x v="0"/>
    <n v="862"/>
    <n v="312"/>
    <x v="0"/>
    <n v="52.831879000000001"/>
    <n v="23.826297"/>
    <x v="6"/>
    <s v="March"/>
    <s v="Anne Anthony"/>
  </r>
  <r>
    <x v="3"/>
    <x v="1"/>
    <n v="1"/>
    <n v="22"/>
    <x v="1"/>
    <n v="48.506205999999999"/>
    <n v="20.565308000000002"/>
    <x v="6"/>
    <s v="March"/>
    <s v="Anne Anthony"/>
  </r>
  <r>
    <x v="3"/>
    <x v="1"/>
    <n v="0.5"/>
    <n v="16"/>
    <x v="0"/>
    <n v="48.505090000000003"/>
    <n v="20.539448"/>
    <x v="6"/>
    <s v="March"/>
    <s v="Anne Anthony"/>
  </r>
  <r>
    <x v="3"/>
    <x v="1"/>
    <n v="0.8"/>
    <n v="23"/>
    <x v="1"/>
    <n v="48.504424999999998"/>
    <n v="20.548743999999999"/>
    <x v="6"/>
    <s v="March"/>
    <s v="Anne Anthony"/>
  </r>
  <r>
    <x v="3"/>
    <x v="1"/>
    <n v="0.7"/>
    <n v="18"/>
    <x v="1"/>
    <n v="48.505617000000001"/>
    <n v="20.541053999999999"/>
    <x v="6"/>
    <s v="March"/>
    <s v="Anne Anthony"/>
  </r>
  <r>
    <x v="3"/>
    <x v="1"/>
    <n v="1.2"/>
    <n v="23"/>
    <x v="0"/>
    <n v="48.503253999999998"/>
    <n v="20.555951"/>
    <x v="6"/>
    <s v="March"/>
    <s v="Anne Anthony"/>
  </r>
  <r>
    <x v="3"/>
    <x v="1"/>
    <n v="0.5"/>
    <n v="15"/>
    <x v="0"/>
    <n v="48.502358999999998"/>
    <n v="20.563385"/>
    <x v="6"/>
    <s v="March"/>
    <s v="Anne Anthony"/>
  </r>
  <r>
    <x v="3"/>
    <x v="1"/>
    <n v="0.6"/>
    <n v="18"/>
    <x v="1"/>
    <n v="48.511048000000002"/>
    <n v="20.567208999999998"/>
    <x v="6"/>
    <s v="March"/>
    <s v="Anne Anthony"/>
  </r>
  <r>
    <x v="1"/>
    <x v="1"/>
    <n v="29"/>
    <n v="109"/>
    <x v="0"/>
    <n v="48.501573999999998"/>
    <n v="20.532454999999999"/>
    <x v="6"/>
    <s v="March"/>
    <s v="Anne Anthony"/>
  </r>
  <r>
    <x v="1"/>
    <x v="0"/>
    <n v="26"/>
    <n v="85"/>
    <x v="1"/>
    <n v="52.808579000000002"/>
    <n v="23.843768000000001"/>
    <x v="6"/>
    <s v="March"/>
    <s v="Anne Anthony"/>
  </r>
  <r>
    <x v="2"/>
    <x v="1"/>
    <n v="0.29599999999999999"/>
    <n v="19"/>
    <x v="0"/>
    <n v="-2.0235460000000001"/>
    <n v="34.896734000000002"/>
    <x v="6"/>
    <s v="March"/>
    <s v="Anne Anthony"/>
  </r>
  <r>
    <x v="2"/>
    <x v="1"/>
    <n v="0.3"/>
    <n v="23"/>
    <x v="0"/>
    <n v="48.505406000000001"/>
    <n v="20.535848000000001"/>
    <x v="6"/>
    <s v="March"/>
    <s v="Anne Anthony"/>
  </r>
  <r>
    <x v="2"/>
    <x v="1"/>
    <n v="0.28599999999999998"/>
    <n v="18"/>
    <x v="1"/>
    <n v="48.503917000000001"/>
    <n v="20.536503"/>
    <x v="6"/>
    <s v="March"/>
    <s v="Anne Anthony"/>
  </r>
  <r>
    <x v="2"/>
    <x v="0"/>
    <n v="0.318"/>
    <n v="21"/>
    <x v="0"/>
    <n v="52.240616000000003"/>
    <n v="21.054901999999998"/>
    <x v="6"/>
    <s v="March"/>
    <s v="Anne Anthony"/>
  </r>
  <r>
    <x v="0"/>
    <x v="4"/>
    <n v="716"/>
    <n v="303"/>
    <x v="0"/>
    <n v="50.636161000000001"/>
    <n v="14.846951000000001"/>
    <x v="6"/>
    <s v="March"/>
    <s v="John Johnson"/>
  </r>
  <r>
    <x v="0"/>
    <x v="4"/>
    <n v="541"/>
    <n v="212"/>
    <x v="1"/>
    <n v="50.642592"/>
    <n v="14.85014"/>
    <x v="6"/>
    <s v="March"/>
    <s v="John Johnson"/>
  </r>
  <r>
    <x v="0"/>
    <x v="4"/>
    <n v="30"/>
    <n v="100"/>
    <x v="1"/>
    <n v="50.636423000000001"/>
    <n v="14.847287"/>
    <x v="6"/>
    <s v="March"/>
    <s v="John Johnson"/>
  </r>
  <r>
    <x v="3"/>
    <x v="4"/>
    <n v="0.7"/>
    <n v="20"/>
    <x v="1"/>
    <n v="50.106606999999997"/>
    <n v="14.347909"/>
    <x v="6"/>
    <s v="March"/>
    <s v="John Johnson"/>
  </r>
  <r>
    <x v="3"/>
    <x v="4"/>
    <n v="0.7"/>
    <n v="20"/>
    <x v="1"/>
    <n v="50.106924999999997"/>
    <n v="14.346629"/>
    <x v="6"/>
    <s v="March"/>
    <s v="John Johnson"/>
  </r>
  <r>
    <x v="3"/>
    <x v="4"/>
    <n v="1.2"/>
    <n v="26"/>
    <x v="0"/>
    <n v="50.107284"/>
    <n v="14.347676"/>
    <x v="6"/>
    <s v="March"/>
    <s v="John Johnson"/>
  </r>
  <r>
    <x v="2"/>
    <x v="4"/>
    <n v="0.27300000000000002"/>
    <n v="17"/>
    <x v="1"/>
    <n v="49.938634"/>
    <n v="14.181813"/>
    <x v="6"/>
    <s v="March"/>
    <s v="John Johnson"/>
  </r>
  <r>
    <x v="3"/>
    <x v="1"/>
    <n v="1"/>
    <n v="24"/>
    <x v="1"/>
    <n v="48.506912999999997"/>
    <n v="20.540427000000001"/>
    <x v="7"/>
    <s v="March"/>
    <s v="Anne Anthony"/>
  </r>
  <r>
    <x v="3"/>
    <x v="0"/>
    <n v="0.8"/>
    <n v="19"/>
    <x v="1"/>
    <n v="52.214365000000001"/>
    <n v="21.031462000000001"/>
    <x v="7"/>
    <s v="March"/>
    <s v="Anne Anthony"/>
  </r>
  <r>
    <x v="2"/>
    <x v="1"/>
    <n v="0.26100000000000001"/>
    <n v="19"/>
    <x v="1"/>
    <n v="47.507022999999997"/>
    <n v="18.940532000000001"/>
    <x v="7"/>
    <s v="March"/>
    <s v="Anne Anthony"/>
  </r>
  <r>
    <x v="3"/>
    <x v="4"/>
    <n v="0.8"/>
    <n v="22"/>
    <x v="0"/>
    <n v="50.106811"/>
    <n v="14.348513000000001"/>
    <x v="7"/>
    <s v="March"/>
    <s v="John Johnson"/>
  </r>
  <r>
    <x v="3"/>
    <x v="4"/>
    <n v="1.1000000000000001"/>
    <n v="23"/>
    <x v="0"/>
    <n v="50.107278000000001"/>
    <n v="14.348461"/>
    <x v="7"/>
    <s v="March"/>
    <s v="John Johnson"/>
  </r>
  <r>
    <x v="0"/>
    <x v="0"/>
    <n v="621"/>
    <n v="277"/>
    <x v="1"/>
    <n v="52.828561000000001"/>
    <n v="23.816860999999999"/>
    <x v="8"/>
    <s v="March"/>
    <s v="Anne Anthony"/>
  </r>
  <r>
    <x v="0"/>
    <x v="0"/>
    <n v="385"/>
    <n v="168"/>
    <x v="1"/>
    <n v="52.833261"/>
    <n v="23.815203"/>
    <x v="8"/>
    <s v="March"/>
    <s v="Anne Anthony"/>
  </r>
  <r>
    <x v="3"/>
    <x v="0"/>
    <n v="0.6"/>
    <n v="19"/>
    <x v="0"/>
    <n v="52.214410000000001"/>
    <n v="21.032484"/>
    <x v="8"/>
    <s v="March"/>
    <s v="Anne Anthony"/>
  </r>
  <r>
    <x v="3"/>
    <x v="0"/>
    <n v="0.8"/>
    <n v="22"/>
    <x v="1"/>
    <n v="52.214452000000001"/>
    <n v="21.034504999999999"/>
    <x v="8"/>
    <s v="March"/>
    <s v="Anne Anthony"/>
  </r>
  <r>
    <x v="1"/>
    <x v="1"/>
    <n v="12"/>
    <n v="61"/>
    <x v="1"/>
    <n v="48.508239000000003"/>
    <n v="20.567913999999998"/>
    <x v="8"/>
    <s v="March"/>
    <s v="Anne Anthony"/>
  </r>
  <r>
    <x v="1"/>
    <x v="1"/>
    <n v="23"/>
    <n v="73"/>
    <x v="1"/>
    <n v="48.507503"/>
    <n v="20.551725999999999"/>
    <x v="8"/>
    <s v="March"/>
    <s v="Anne Anthony"/>
  </r>
  <r>
    <x v="1"/>
    <x v="0"/>
    <n v="20"/>
    <n v="95"/>
    <x v="1"/>
    <n v="52.814984000000003"/>
    <n v="23.840681"/>
    <x v="8"/>
    <s v="March"/>
    <s v="Anne Anthony"/>
  </r>
  <r>
    <x v="1"/>
    <x v="0"/>
    <n v="18"/>
    <n v="63"/>
    <x v="0"/>
    <n v="52.812646999999998"/>
    <n v="23.863299000000001"/>
    <x v="8"/>
    <s v="March"/>
    <s v="Anne Anthony"/>
  </r>
  <r>
    <x v="2"/>
    <x v="0"/>
    <n v="0.30199999999999999"/>
    <n v="22"/>
    <x v="0"/>
    <n v="52.241374999999998"/>
    <n v="21.050844999999999"/>
    <x v="8"/>
    <s v="March"/>
    <s v="Anne Anthony"/>
  </r>
  <r>
    <x v="2"/>
    <x v="1"/>
    <n v="0.28399999999999997"/>
    <n v="20"/>
    <x v="1"/>
    <n v="47.50938"/>
    <n v="18.949607"/>
    <x v="8"/>
    <s v="March"/>
    <s v="Anne Anthony"/>
  </r>
  <r>
    <x v="3"/>
    <x v="4"/>
    <n v="0.9"/>
    <n v="22"/>
    <x v="1"/>
    <n v="50.106583000000001"/>
    <n v="14.346470999999999"/>
    <x v="8"/>
    <s v="March"/>
    <s v="John Johnson"/>
  </r>
  <r>
    <x v="3"/>
    <x v="4"/>
    <n v="1.1000000000000001"/>
    <n v="23"/>
    <x v="0"/>
    <n v="50.106960000000001"/>
    <n v="14.346126"/>
    <x v="8"/>
    <s v="March"/>
    <s v="John Johnson"/>
  </r>
  <r>
    <x v="3"/>
    <x v="4"/>
    <n v="0.6"/>
    <n v="19"/>
    <x v="0"/>
    <n v="50.106310999999998"/>
    <n v="14.346906000000001"/>
    <x v="8"/>
    <s v="March"/>
    <s v="John Johnson"/>
  </r>
  <r>
    <x v="2"/>
    <x v="4"/>
    <n v="0.29299999999999998"/>
    <n v="19"/>
    <x v="0"/>
    <n v="49.937415999999999"/>
    <n v="14.181449000000001"/>
    <x v="8"/>
    <s v="March"/>
    <s v="John Johnson"/>
  </r>
  <r>
    <x v="3"/>
    <x v="1"/>
    <n v="0.9"/>
    <n v="20"/>
    <x v="1"/>
    <n v="48.51108"/>
    <n v="20.567191999999999"/>
    <x v="9"/>
    <s v="March"/>
    <s v="Anne Anthony"/>
  </r>
  <r>
    <x v="3"/>
    <x v="1"/>
    <n v="0.9"/>
    <n v="21"/>
    <x v="0"/>
    <n v="48.505290000000002"/>
    <n v="20.566168999999999"/>
    <x v="9"/>
    <s v="March"/>
    <s v="Anne Anthony"/>
  </r>
  <r>
    <x v="3"/>
    <x v="1"/>
    <n v="1.1000000000000001"/>
    <n v="26"/>
    <x v="0"/>
    <n v="48.502485999999998"/>
    <n v="20.562564999999999"/>
    <x v="9"/>
    <s v="March"/>
    <s v="Anne Anthony"/>
  </r>
  <r>
    <x v="1"/>
    <x v="1"/>
    <n v="23"/>
    <n v="77"/>
    <x v="1"/>
    <n v="48.509272000000003"/>
    <n v="20.551952"/>
    <x v="9"/>
    <s v="March"/>
    <s v="Anne Anthony"/>
  </r>
  <r>
    <x v="1"/>
    <x v="1"/>
    <n v="15"/>
    <n v="71"/>
    <x v="0"/>
    <n v="48.501179999999998"/>
    <n v="20.557431999999999"/>
    <x v="9"/>
    <s v="March"/>
    <s v="Anne Anthony"/>
  </r>
  <r>
    <x v="3"/>
    <x v="4"/>
    <n v="0.8"/>
    <n v="17"/>
    <x v="0"/>
    <n v="49.938707000000001"/>
    <n v="14.182506999999999"/>
    <x v="9"/>
    <s v="March"/>
    <s v="John Johnson"/>
  </r>
  <r>
    <x v="3"/>
    <x v="4"/>
    <n v="0.5"/>
    <n v="18"/>
    <x v="1"/>
    <n v="49.937531"/>
    <n v="14.180358999999999"/>
    <x v="9"/>
    <s v="March"/>
    <s v="John Johnson"/>
  </r>
  <r>
    <x v="3"/>
    <x v="4"/>
    <n v="0.7"/>
    <n v="17"/>
    <x v="1"/>
    <n v="49.937890000000003"/>
    <n v="14.180882"/>
    <x v="9"/>
    <s v="March"/>
    <s v="John Johnson"/>
  </r>
  <r>
    <x v="3"/>
    <x v="4"/>
    <n v="0.5"/>
    <n v="15"/>
    <x v="1"/>
    <n v="49.937339999999999"/>
    <n v="14.180709999999999"/>
    <x v="9"/>
    <s v="March"/>
    <s v="John Johnson"/>
  </r>
  <r>
    <x v="0"/>
    <x v="0"/>
    <n v="24"/>
    <n v="100"/>
    <x v="1"/>
    <n v="52.834111999999998"/>
    <n v="23.825721999999999"/>
    <x v="10"/>
    <s v="March"/>
    <s v="Anne Anthony"/>
  </r>
  <r>
    <x v="3"/>
    <x v="1"/>
    <n v="0.9"/>
    <n v="19"/>
    <x v="1"/>
    <n v="48.505634000000001"/>
    <n v="20.543417000000002"/>
    <x v="10"/>
    <s v="March"/>
    <s v="Anne Anthony"/>
  </r>
  <r>
    <x v="3"/>
    <x v="0"/>
    <n v="0.8"/>
    <n v="16"/>
    <x v="1"/>
    <n v="52.214967999999999"/>
    <n v="21.030987"/>
    <x v="10"/>
    <s v="March"/>
    <s v="Anne Anthony"/>
  </r>
  <r>
    <x v="1"/>
    <x v="1"/>
    <n v="20"/>
    <n v="90"/>
    <x v="1"/>
    <n v="48.501938000000003"/>
    <n v="20.567813999999998"/>
    <x v="10"/>
    <s v="March"/>
    <s v="Anne Anthony"/>
  </r>
  <r>
    <x v="2"/>
    <x v="1"/>
    <n v="0.32200000000000001"/>
    <n v="21"/>
    <x v="0"/>
    <n v="48.506216999999999"/>
    <n v="20.545055000000001"/>
    <x v="10"/>
    <s v="March"/>
    <s v="Anne Anthony"/>
  </r>
  <r>
    <x v="2"/>
    <x v="1"/>
    <n v="0.28199999999999997"/>
    <n v="21"/>
    <x v="0"/>
    <n v="-2.0235460000000001"/>
    <n v="34.896734000000002"/>
    <x v="10"/>
    <s v="March"/>
    <s v="Anne Anthony"/>
  </r>
  <r>
    <x v="2"/>
    <x v="1"/>
    <n v="0.311"/>
    <n v="22"/>
    <x v="1"/>
    <n v="48.505737000000003"/>
    <n v="20.546731000000001"/>
    <x v="10"/>
    <s v="March"/>
    <s v="Anne Anthony"/>
  </r>
  <r>
    <x v="2"/>
    <x v="1"/>
    <n v="0.33600000000000002"/>
    <n v="22"/>
    <x v="1"/>
    <n v="48.506095000000002"/>
    <n v="20.543032"/>
    <x v="10"/>
    <s v="March"/>
    <s v="Anne Anthony"/>
  </r>
  <r>
    <x v="2"/>
    <x v="1"/>
    <n v="0.28999999999999998"/>
    <n v="21"/>
    <x v="0"/>
    <n v="48.506428999999997"/>
    <n v="20.543875"/>
    <x v="10"/>
    <s v="March"/>
    <s v="Anne Anthony"/>
  </r>
  <r>
    <x v="2"/>
    <x v="1"/>
    <n v="0.29299999999999998"/>
    <n v="20"/>
    <x v="0"/>
    <n v="48.505859999999998"/>
    <n v="20.547649"/>
    <x v="10"/>
    <s v="March"/>
    <s v="Anne Anthony"/>
  </r>
  <r>
    <x v="2"/>
    <x v="1"/>
    <n v="0.33500000000000002"/>
    <n v="19"/>
    <x v="1"/>
    <n v="48.502521000000002"/>
    <n v="20.558578000000001"/>
    <x v="10"/>
    <s v="March"/>
    <s v="Anne Anthony"/>
  </r>
  <r>
    <x v="2"/>
    <x v="1"/>
    <n v="0.33900000000000002"/>
    <n v="19"/>
    <x v="1"/>
    <n v="48.503751999999999"/>
    <n v="20.558664"/>
    <x v="10"/>
    <s v="March"/>
    <s v="Anne Anthony"/>
  </r>
  <r>
    <x v="2"/>
    <x v="0"/>
    <n v="0.30399999999999999"/>
    <n v="22"/>
    <x v="0"/>
    <n v="52.241092999999999"/>
    <n v="21.055413000000001"/>
    <x v="10"/>
    <s v="March"/>
    <s v="Anne Anthony"/>
  </r>
  <r>
    <x v="2"/>
    <x v="4"/>
    <n v="0.27100000000000002"/>
    <n v="18"/>
    <x v="0"/>
    <n v="49.937390999999998"/>
    <n v="14.179565999999999"/>
    <x v="10"/>
    <s v="March"/>
    <s v="John Johnson"/>
  </r>
  <r>
    <x v="0"/>
    <x v="0"/>
    <n v="315"/>
    <n v="175"/>
    <x v="0"/>
    <n v="52.829512000000001"/>
    <n v="23.811681"/>
    <x v="11"/>
    <s v="March"/>
    <s v="Anne Anthony"/>
  </r>
  <r>
    <x v="2"/>
    <x v="0"/>
    <n v="0.316"/>
    <n v="24"/>
    <x v="0"/>
    <n v="52.240707"/>
    <n v="21.057051000000001"/>
    <x v="11"/>
    <s v="March"/>
    <s v="Anne Anthony"/>
  </r>
  <r>
    <x v="2"/>
    <x v="1"/>
    <n v="0.29499999999999998"/>
    <n v="19"/>
    <x v="1"/>
    <n v="47.508454"/>
    <n v="18.949342999999999"/>
    <x v="11"/>
    <s v="March"/>
    <s v="Anne Anthony"/>
  </r>
  <r>
    <x v="3"/>
    <x v="4"/>
    <n v="0.6"/>
    <n v="20"/>
    <x v="0"/>
    <n v="49.938169000000002"/>
    <n v="14.178703000000001"/>
    <x v="11"/>
    <s v="March"/>
    <s v="John Johnson"/>
  </r>
  <r>
    <x v="3"/>
    <x v="4"/>
    <n v="0.4"/>
    <n v="17"/>
    <x v="0"/>
    <n v="49.938527000000001"/>
    <n v="14.179315000000001"/>
    <x v="11"/>
    <s v="March"/>
    <s v="John Johnson"/>
  </r>
  <r>
    <x v="2"/>
    <x v="4"/>
    <n v="0.32400000000000001"/>
    <n v="23"/>
    <x v="1"/>
    <n v="49.937724000000003"/>
    <n v="14.182072"/>
    <x v="11"/>
    <s v="March"/>
    <s v="John Johnson"/>
  </r>
  <r>
    <x v="3"/>
    <x v="1"/>
    <n v="0.6"/>
    <n v="14"/>
    <x v="1"/>
    <n v="48.506262"/>
    <n v="20.547343000000001"/>
    <x v="12"/>
    <s v="March"/>
    <s v="Anne Anthony"/>
  </r>
  <r>
    <x v="3"/>
    <x v="0"/>
    <n v="0.8"/>
    <n v="24"/>
    <x v="0"/>
    <n v="52.214734"/>
    <n v="21.031915000000001"/>
    <x v="12"/>
    <s v="March"/>
    <s v="Anne Anthony"/>
  </r>
  <r>
    <x v="1"/>
    <x v="1"/>
    <n v="20"/>
    <n v="86"/>
    <x v="0"/>
    <n v="48.504716999999999"/>
    <n v="20.558726"/>
    <x v="12"/>
    <s v="March"/>
    <s v="Anne Anthony"/>
  </r>
  <r>
    <x v="2"/>
    <x v="0"/>
    <n v="0.36"/>
    <n v="23"/>
    <x v="1"/>
    <n v="52.241509999999998"/>
    <n v="21.052575000000001"/>
    <x v="12"/>
    <s v="March"/>
    <s v="Anne Anthony"/>
  </r>
  <r>
    <x v="2"/>
    <x v="1"/>
    <n v="0.26"/>
    <n v="18"/>
    <x v="0"/>
    <n v="47.505768000000003"/>
    <n v="18.943674000000001"/>
    <x v="12"/>
    <s v="March"/>
    <s v="Anne Anthony"/>
  </r>
  <r>
    <x v="2"/>
    <x v="2"/>
    <n v="0.33500000000000002"/>
    <n v="18"/>
    <x v="0"/>
    <n v="48.161549000000001"/>
    <n v="11.493041"/>
    <x v="12"/>
    <s v="March"/>
    <s v="Bob Bobson"/>
  </r>
  <r>
    <x v="3"/>
    <x v="4"/>
    <n v="0.6"/>
    <n v="15"/>
    <x v="1"/>
    <n v="49.939297000000003"/>
    <n v="14.181452999999999"/>
    <x v="12"/>
    <s v="March"/>
    <s v="John Johnson"/>
  </r>
  <r>
    <x v="2"/>
    <x v="3"/>
    <n v="0.28799999999999998"/>
    <n v="18"/>
    <x v="1"/>
    <n v="48.185952999999998"/>
    <n v="17.083929999999999"/>
    <x v="12"/>
    <s v="March"/>
    <s v="John Johnson"/>
  </r>
  <r>
    <x v="0"/>
    <x v="0"/>
    <n v="610"/>
    <n v="258"/>
    <x v="1"/>
    <n v="52.821134999999998"/>
    <n v="23.809947000000001"/>
    <x v="13"/>
    <s v="March"/>
    <s v="Anne Anthony"/>
  </r>
  <r>
    <x v="3"/>
    <x v="1"/>
    <n v="0.7"/>
    <n v="21"/>
    <x v="1"/>
    <n v="48.509199000000002"/>
    <n v="20.552447000000001"/>
    <x v="13"/>
    <s v="March"/>
    <s v="Anne Anthony"/>
  </r>
  <r>
    <x v="3"/>
    <x v="0"/>
    <n v="1"/>
    <n v="21"/>
    <x v="1"/>
    <n v="52.213985000000001"/>
    <n v="21.030840999999999"/>
    <x v="13"/>
    <s v="March"/>
    <s v="Anne Anthony"/>
  </r>
  <r>
    <x v="3"/>
    <x v="0"/>
    <n v="0.8"/>
    <n v="15"/>
    <x v="1"/>
    <n v="52.213876999999997"/>
    <n v="21.030861000000002"/>
    <x v="13"/>
    <s v="March"/>
    <s v="Anne Anthony"/>
  </r>
  <r>
    <x v="2"/>
    <x v="0"/>
    <n v="0.32"/>
    <n v="21"/>
    <x v="1"/>
    <n v="52.241309000000001"/>
    <n v="21.057247"/>
    <x v="13"/>
    <s v="March"/>
    <s v="Anne Anthony"/>
  </r>
  <r>
    <x v="2"/>
    <x v="1"/>
    <n v="0.28699999999999998"/>
    <n v="23"/>
    <x v="1"/>
    <n v="47.508679000000001"/>
    <n v="18.946127000000001"/>
    <x v="13"/>
    <s v="March"/>
    <s v="Anne Anthony"/>
  </r>
  <r>
    <x v="3"/>
    <x v="6"/>
    <n v="0.8"/>
    <n v="24"/>
    <x v="1"/>
    <n v="47.781689"/>
    <n v="14.386777"/>
    <x v="13"/>
    <s v="March"/>
    <s v="Bob Bobson"/>
  </r>
  <r>
    <x v="3"/>
    <x v="5"/>
    <n v="0.7"/>
    <n v="19"/>
    <x v="1"/>
    <n v="47.781139000000003"/>
    <n v="14.382004"/>
    <x v="13"/>
    <s v="March"/>
    <s v="Bob Bobson"/>
  </r>
  <r>
    <x v="3"/>
    <x v="5"/>
    <n v="0.8"/>
    <n v="20"/>
    <x v="0"/>
    <n v="47.781827999999997"/>
    <n v="14.385001000000001"/>
    <x v="13"/>
    <s v="March"/>
    <s v="Bob Bobson"/>
  </r>
  <r>
    <x v="3"/>
    <x v="5"/>
    <n v="0.6"/>
    <n v="14"/>
    <x v="1"/>
    <n v="47.781059999999997"/>
    <n v="14.386806999999999"/>
    <x v="13"/>
    <s v="March"/>
    <s v="Bob Bobson"/>
  </r>
  <r>
    <x v="3"/>
    <x v="5"/>
    <n v="0.7"/>
    <n v="24"/>
    <x v="0"/>
    <n v="47.780872000000002"/>
    <n v="14.384460000000001"/>
    <x v="13"/>
    <s v="March"/>
    <s v="Bob Bobson"/>
  </r>
  <r>
    <x v="3"/>
    <x v="5"/>
    <n v="0.8"/>
    <n v="21"/>
    <x v="1"/>
    <n v="47.781117000000002"/>
    <n v="14.38608"/>
    <x v="13"/>
    <s v="March"/>
    <s v="Bob Bobson"/>
  </r>
  <r>
    <x v="1"/>
    <x v="5"/>
    <n v="22"/>
    <n v="80"/>
    <x v="1"/>
    <n v="47.780779000000003"/>
    <n v="14.384918000000001"/>
    <x v="13"/>
    <s v="March"/>
    <s v="Bob Bobson"/>
  </r>
  <r>
    <x v="1"/>
    <x v="5"/>
    <n v="23"/>
    <n v="86"/>
    <x v="0"/>
    <n v="47.781256999999997"/>
    <n v="14.383099"/>
    <x v="13"/>
    <s v="March"/>
    <s v="Bob Bobson"/>
  </r>
  <r>
    <x v="3"/>
    <x v="4"/>
    <n v="0.9"/>
    <n v="16"/>
    <x v="1"/>
    <n v="49.938490000000002"/>
    <n v="14.180199999999999"/>
    <x v="13"/>
    <s v="March"/>
    <s v="John Johnson"/>
  </r>
  <r>
    <x v="3"/>
    <x v="0"/>
    <n v="0.9"/>
    <n v="22"/>
    <x v="0"/>
    <n v="52.214497999999999"/>
    <n v="21.034200999999999"/>
    <x v="14"/>
    <s v="March"/>
    <s v="Anne Anthony"/>
  </r>
  <r>
    <x v="1"/>
    <x v="0"/>
    <n v="16"/>
    <n v="70"/>
    <x v="0"/>
    <n v="52.803128999999998"/>
    <n v="23.844358"/>
    <x v="14"/>
    <s v="March"/>
    <s v="Anne Anthony"/>
  </r>
  <r>
    <x v="3"/>
    <x v="4"/>
    <n v="0.7"/>
    <n v="21"/>
    <x v="1"/>
    <n v="49.938132000000003"/>
    <n v="14.181225"/>
    <x v="14"/>
    <s v="March"/>
    <s v="John Johnson"/>
  </r>
  <r>
    <x v="2"/>
    <x v="3"/>
    <n v="0.29399999999999998"/>
    <n v="23"/>
    <x v="0"/>
    <n v="48.184373999999998"/>
    <n v="17.085999999999999"/>
    <x v="14"/>
    <s v="March"/>
    <s v="John Johnson"/>
  </r>
  <r>
    <x v="2"/>
    <x v="4"/>
    <n v="0.26700000000000002"/>
    <n v="18"/>
    <x v="1"/>
    <n v="49.938859999999998"/>
    <n v="14.182738000000001"/>
    <x v="14"/>
    <s v="March"/>
    <s v="John Johnson"/>
  </r>
  <r>
    <x v="2"/>
    <x v="4"/>
    <n v="0.32800000000000001"/>
    <n v="19"/>
    <x v="0"/>
    <n v="49.938357000000003"/>
    <n v="14.177929000000001"/>
    <x v="14"/>
    <s v="March"/>
    <s v="John Johnson"/>
  </r>
  <r>
    <x v="0"/>
    <x v="0"/>
    <n v="35"/>
    <n v="125"/>
    <x v="1"/>
    <n v="52.820739000000003"/>
    <n v="23.815145000000001"/>
    <x v="15"/>
    <s v="March"/>
    <s v="Anne Anthony"/>
  </r>
  <r>
    <x v="3"/>
    <x v="1"/>
    <n v="0.6"/>
    <n v="23"/>
    <x v="0"/>
    <n v="48.501762999999997"/>
    <n v="20.547975999999998"/>
    <x v="15"/>
    <s v="March"/>
    <s v="Anne Anthony"/>
  </r>
  <r>
    <x v="1"/>
    <x v="0"/>
    <n v="16"/>
    <n v="72"/>
    <x v="0"/>
    <n v="52.814211"/>
    <n v="23.834358000000002"/>
    <x v="15"/>
    <s v="March"/>
    <s v="Anne Anthony"/>
  </r>
  <r>
    <x v="1"/>
    <x v="0"/>
    <n v="18"/>
    <n v="81"/>
    <x v="1"/>
    <n v="52.802757"/>
    <n v="23.835198999999999"/>
    <x v="15"/>
    <s v="March"/>
    <s v="Anne Anthony"/>
  </r>
  <r>
    <x v="2"/>
    <x v="0"/>
    <n v="0.34599999999999997"/>
    <n v="19"/>
    <x v="0"/>
    <n v="52.240529000000002"/>
    <n v="21.053602999999999"/>
    <x v="15"/>
    <s v="March"/>
    <s v="Anne Anthony"/>
  </r>
  <r>
    <x v="2"/>
    <x v="1"/>
    <n v="0.27"/>
    <n v="22"/>
    <x v="1"/>
    <n v="47.509866000000002"/>
    <n v="18.942537999999999"/>
    <x v="15"/>
    <s v="March"/>
    <s v="Anne Anthony"/>
  </r>
  <r>
    <x v="2"/>
    <x v="3"/>
    <n v="0.32600000000000001"/>
    <n v="19"/>
    <x v="1"/>
    <n v="48.185585000000003"/>
    <n v="17.091365"/>
    <x v="15"/>
    <s v="March"/>
    <s v="John Johnson"/>
  </r>
  <r>
    <x v="0"/>
    <x v="0"/>
    <n v="915"/>
    <n v="304"/>
    <x v="0"/>
    <n v="52.822879999999998"/>
    <n v="23.810852000000001"/>
    <x v="16"/>
    <s v="March"/>
    <s v="Anne Anthony"/>
  </r>
  <r>
    <x v="3"/>
    <x v="1"/>
    <n v="0.7"/>
    <n v="15"/>
    <x v="1"/>
    <n v="48.504773"/>
    <n v="20.536543000000002"/>
    <x v="16"/>
    <s v="March"/>
    <s v="Anne Anthony"/>
  </r>
  <r>
    <x v="3"/>
    <x v="0"/>
    <n v="0.6"/>
    <n v="15"/>
    <x v="1"/>
    <n v="52.214745000000001"/>
    <n v="21.033701000000001"/>
    <x v="16"/>
    <s v="March"/>
    <s v="Anne Anthony"/>
  </r>
  <r>
    <x v="2"/>
    <x v="1"/>
    <n v="0.27800000000000002"/>
    <n v="21"/>
    <x v="1"/>
    <n v="47.510303999999998"/>
    <n v="18.942924999999999"/>
    <x v="16"/>
    <s v="March"/>
    <s v="Anne Anthony"/>
  </r>
  <r>
    <x v="2"/>
    <x v="3"/>
    <n v="0.32200000000000001"/>
    <n v="23"/>
    <x v="1"/>
    <n v="49.056857000000001"/>
    <n v="22.416369"/>
    <x v="16"/>
    <s v="March"/>
    <s v="John Johnson"/>
  </r>
  <r>
    <x v="2"/>
    <x v="3"/>
    <n v="0.30199999999999999"/>
    <n v="23"/>
    <x v="0"/>
    <n v="48.412370000000003"/>
    <n v="18.875325"/>
    <x v="16"/>
    <s v="March"/>
    <s v="John Johnson"/>
  </r>
  <r>
    <x v="2"/>
    <x v="3"/>
    <n v="0.33400000000000002"/>
    <n v="20"/>
    <x v="1"/>
    <n v="48.406982999999997"/>
    <n v="18.863197"/>
    <x v="16"/>
    <s v="March"/>
    <s v="John Johnson"/>
  </r>
  <r>
    <x v="2"/>
    <x v="3"/>
    <n v="0.28000000000000003"/>
    <n v="19"/>
    <x v="0"/>
    <n v="48.411485999999996"/>
    <n v="18.867730000000002"/>
    <x v="16"/>
    <s v="March"/>
    <s v="John Johnson"/>
  </r>
  <r>
    <x v="2"/>
    <x v="3"/>
    <n v="0.28899999999999998"/>
    <n v="18"/>
    <x v="0"/>
    <n v="48.410536"/>
    <n v="18.870325000000001"/>
    <x v="16"/>
    <s v="March"/>
    <s v="John Johnson"/>
  </r>
  <r>
    <x v="0"/>
    <x v="0"/>
    <n v="537"/>
    <n v="287"/>
    <x v="1"/>
    <n v="52.825499999999998"/>
    <n v="23.808385999999999"/>
    <x v="17"/>
    <s v="March"/>
    <s v="Anne Anthony"/>
  </r>
  <r>
    <x v="2"/>
    <x v="0"/>
    <n v="0.34599999999999997"/>
    <n v="23"/>
    <x v="0"/>
    <n v="52.240737000000003"/>
    <n v="21.053063000000002"/>
    <x v="17"/>
    <s v="March"/>
    <s v="Anne Anthony"/>
  </r>
  <r>
    <x v="3"/>
    <x v="4"/>
    <n v="1.2"/>
    <n v="26"/>
    <x v="0"/>
    <n v="49.938547"/>
    <n v="14.180402000000001"/>
    <x v="17"/>
    <s v="March"/>
    <s v="John Johnson"/>
  </r>
  <r>
    <x v="3"/>
    <x v="4"/>
    <n v="0.9"/>
    <n v="17"/>
    <x v="0"/>
    <n v="49.937429000000002"/>
    <n v="14.182639999999999"/>
    <x v="17"/>
    <s v="March"/>
    <s v="John Johnson"/>
  </r>
  <r>
    <x v="2"/>
    <x v="4"/>
    <n v="0.32"/>
    <n v="18"/>
    <x v="1"/>
    <n v="49.938634"/>
    <n v="14.179739"/>
    <x v="17"/>
    <s v="March"/>
    <s v="John Johnson"/>
  </r>
  <r>
    <x v="2"/>
    <x v="4"/>
    <n v="0.26600000000000001"/>
    <n v="17"/>
    <x v="0"/>
    <n v="49.939062"/>
    <n v="14.177939"/>
    <x v="17"/>
    <s v="March"/>
    <s v="John Johnson"/>
  </r>
  <r>
    <x v="3"/>
    <x v="1"/>
    <n v="1.1000000000000001"/>
    <n v="19"/>
    <x v="1"/>
    <n v="48.502512000000003"/>
    <n v="20.563331000000002"/>
    <x v="18"/>
    <s v="March"/>
    <s v="Anne Anthony"/>
  </r>
  <r>
    <x v="3"/>
    <x v="0"/>
    <n v="0.4"/>
    <n v="16"/>
    <x v="0"/>
    <n v="52.214758000000003"/>
    <n v="21.030697"/>
    <x v="18"/>
    <s v="March"/>
    <s v="Anne Anthony"/>
  </r>
  <r>
    <x v="3"/>
    <x v="5"/>
    <n v="1.1000000000000001"/>
    <n v="21"/>
    <x v="1"/>
    <n v="47.781211999999996"/>
    <n v="14.384017"/>
    <x v="18"/>
    <s v="March"/>
    <s v="Bob Bobson"/>
  </r>
  <r>
    <x v="3"/>
    <x v="5"/>
    <n v="0.7"/>
    <n v="25"/>
    <x v="0"/>
    <n v="47.781764000000003"/>
    <n v="14.383279999999999"/>
    <x v="18"/>
    <s v="March"/>
    <s v="Bob Bobson"/>
  </r>
  <r>
    <x v="3"/>
    <x v="5"/>
    <n v="1.1000000000000001"/>
    <n v="24"/>
    <x v="0"/>
    <n v="47.781883000000001"/>
    <n v="14.382628"/>
    <x v="18"/>
    <s v="March"/>
    <s v="Bob Bobson"/>
  </r>
  <r>
    <x v="3"/>
    <x v="5"/>
    <n v="0.4"/>
    <n v="21"/>
    <x v="1"/>
    <n v="47.781092999999998"/>
    <n v="14.38209"/>
    <x v="18"/>
    <s v="March"/>
    <s v="Bob Bobson"/>
  </r>
  <r>
    <x v="3"/>
    <x v="2"/>
    <n v="0.8"/>
    <n v="16"/>
    <x v="0"/>
    <n v="52.585957999999998"/>
    <n v="13.147098"/>
    <x v="18"/>
    <s v="March"/>
    <s v="Bob Bobson"/>
  </r>
  <r>
    <x v="3"/>
    <x v="2"/>
    <n v="0.5"/>
    <n v="18"/>
    <x v="1"/>
    <n v="52.586199000000001"/>
    <n v="13.152793000000001"/>
    <x v="18"/>
    <s v="March"/>
    <s v="Bob Bobson"/>
  </r>
  <r>
    <x v="3"/>
    <x v="2"/>
    <n v="0.5"/>
    <n v="18"/>
    <x v="0"/>
    <n v="52.586588999999996"/>
    <n v="13.146651"/>
    <x v="18"/>
    <s v="March"/>
    <s v="Bob Bobson"/>
  </r>
  <r>
    <x v="3"/>
    <x v="2"/>
    <n v="0.4"/>
    <n v="13"/>
    <x v="1"/>
    <n v="52.587327000000002"/>
    <n v="13.149206"/>
    <x v="18"/>
    <s v="March"/>
    <s v="Bob Bobson"/>
  </r>
  <r>
    <x v="3"/>
    <x v="2"/>
    <n v="1"/>
    <n v="21"/>
    <x v="0"/>
    <n v="52.585937000000001"/>
    <n v="13.146151"/>
    <x v="18"/>
    <s v="March"/>
    <s v="Bob Bobson"/>
  </r>
  <r>
    <x v="3"/>
    <x v="4"/>
    <n v="1"/>
    <n v="17"/>
    <x v="1"/>
    <n v="49.937696000000003"/>
    <n v="14.182707000000001"/>
    <x v="18"/>
    <s v="March"/>
    <s v="John Johnson"/>
  </r>
  <r>
    <x v="1"/>
    <x v="3"/>
    <n v="16"/>
    <n v="65"/>
    <x v="0"/>
    <n v="48.405926000000001"/>
    <n v="18.839219"/>
    <x v="18"/>
    <s v="March"/>
    <s v="John Johnson"/>
  </r>
  <r>
    <x v="2"/>
    <x v="3"/>
    <n v="0.33"/>
    <n v="18"/>
    <x v="0"/>
    <n v="48.184756999999998"/>
    <n v="17.082936"/>
    <x v="18"/>
    <s v="March"/>
    <s v="John Johnson"/>
  </r>
  <r>
    <x v="2"/>
    <x v="3"/>
    <n v="0.32300000000000001"/>
    <n v="23"/>
    <x v="1"/>
    <n v="48.186767000000003"/>
    <n v="17.089935000000001"/>
    <x v="18"/>
    <s v="March"/>
    <s v="John Johnson"/>
  </r>
  <r>
    <x v="3"/>
    <x v="0"/>
    <n v="0.4"/>
    <n v="16"/>
    <x v="1"/>
    <n v="52.214753999999999"/>
    <n v="21.034364"/>
    <x v="19"/>
    <s v="March"/>
    <s v="Anne Anthony"/>
  </r>
  <r>
    <x v="3"/>
    <x v="0"/>
    <n v="0.7"/>
    <n v="26"/>
    <x v="0"/>
    <n v="52.215034000000003"/>
    <n v="21.03303"/>
    <x v="19"/>
    <s v="March"/>
    <s v="Anne Anthony"/>
  </r>
  <r>
    <x v="2"/>
    <x v="0"/>
    <n v="0.35"/>
    <n v="19"/>
    <x v="1"/>
    <n v="52.241636999999997"/>
    <n v="21.051539999999999"/>
    <x v="19"/>
    <s v="March"/>
    <s v="Anne Anthony"/>
  </r>
  <r>
    <x v="2"/>
    <x v="1"/>
    <n v="0.28399999999999997"/>
    <n v="18"/>
    <x v="1"/>
    <n v="47.505786000000001"/>
    <n v="18.943124000000001"/>
    <x v="19"/>
    <s v="March"/>
    <s v="Anne Anthony"/>
  </r>
  <r>
    <x v="3"/>
    <x v="4"/>
    <n v="0.5"/>
    <n v="13"/>
    <x v="0"/>
    <n v="49.937455"/>
    <n v="14.180775000000001"/>
    <x v="19"/>
    <s v="March"/>
    <s v="John Johnson"/>
  </r>
  <r>
    <x v="1"/>
    <x v="3"/>
    <n v="17"/>
    <n v="80"/>
    <x v="1"/>
    <n v="48.407449"/>
    <n v="18.850762"/>
    <x v="19"/>
    <s v="March"/>
    <s v="John Johnson"/>
  </r>
  <r>
    <x v="0"/>
    <x v="0"/>
    <n v="302"/>
    <n v="150"/>
    <x v="1"/>
    <n v="52.820447000000001"/>
    <n v="23.813258999999999"/>
    <x v="20"/>
    <s v="March"/>
    <s v="Anne Anthony"/>
  </r>
  <r>
    <x v="3"/>
    <x v="1"/>
    <n v="1.2"/>
    <n v="29"/>
    <x v="0"/>
    <n v="48.503794999999997"/>
    <n v="20.555931999999999"/>
    <x v="20"/>
    <s v="March"/>
    <s v="Anne Anthony"/>
  </r>
  <r>
    <x v="3"/>
    <x v="0"/>
    <n v="1.2"/>
    <n v="25"/>
    <x v="0"/>
    <n v="52.214156000000003"/>
    <n v="21.032499999999999"/>
    <x v="20"/>
    <s v="March"/>
    <s v="Anne Anthony"/>
  </r>
  <r>
    <x v="1"/>
    <x v="0"/>
    <n v="171"/>
    <n v="75"/>
    <x v="0"/>
    <n v="52.831229"/>
    <n v="23.814122999999999"/>
    <x v="20"/>
    <s v="March"/>
    <s v="Anne Anthony"/>
  </r>
  <r>
    <x v="1"/>
    <x v="0"/>
    <n v="18"/>
    <n v="73"/>
    <x v="1"/>
    <n v="52.832726000000001"/>
    <n v="23.825032"/>
    <x v="20"/>
    <s v="March"/>
    <s v="Anne Anthony"/>
  </r>
  <r>
    <x v="2"/>
    <x v="0"/>
    <n v="0.33"/>
    <n v="23"/>
    <x v="0"/>
    <n v="50.041479000000002"/>
    <n v="19.951211000000001"/>
    <x v="20"/>
    <s v="March"/>
    <s v="Anne Anthony"/>
  </r>
  <r>
    <x v="2"/>
    <x v="0"/>
    <n v="0.32800000000000001"/>
    <n v="20"/>
    <x v="0"/>
    <n v="50.041153999999999"/>
    <n v="19.949919000000001"/>
    <x v="20"/>
    <s v="March"/>
    <s v="Anne Anthony"/>
  </r>
  <r>
    <x v="2"/>
    <x v="1"/>
    <n v="0.315"/>
    <n v="19"/>
    <x v="0"/>
    <n v="47.506413999999999"/>
    <n v="18.941655000000001"/>
    <x v="20"/>
    <s v="March"/>
    <s v="Anne Anthony"/>
  </r>
  <r>
    <x v="3"/>
    <x v="5"/>
    <n v="0.8"/>
    <n v="24"/>
    <x v="0"/>
    <n v="47.781236"/>
    <n v="14.382218999999999"/>
    <x v="20"/>
    <s v="March"/>
    <s v="Bob Bobson"/>
  </r>
  <r>
    <x v="3"/>
    <x v="6"/>
    <n v="0.6"/>
    <n v="14"/>
    <x v="1"/>
    <n v="47.781247999999998"/>
    <n v="14.382649000000001"/>
    <x v="20"/>
    <s v="March"/>
    <s v="Bob Bobson"/>
  </r>
  <r>
    <x v="3"/>
    <x v="2"/>
    <n v="1.1000000000000001"/>
    <n v="21"/>
    <x v="0"/>
    <n v="52.585628"/>
    <n v="13.149093000000001"/>
    <x v="20"/>
    <s v="March"/>
    <s v="Bob Bobson"/>
  </r>
  <r>
    <x v="3"/>
    <x v="2"/>
    <n v="1.1000000000000001"/>
    <n v="22"/>
    <x v="1"/>
    <n v="52.583289999999998"/>
    <n v="13.149155"/>
    <x v="20"/>
    <s v="March"/>
    <s v="Bob Bobson"/>
  </r>
  <r>
    <x v="1"/>
    <x v="5"/>
    <n v="20"/>
    <n v="74"/>
    <x v="1"/>
    <n v="47.781106000000001"/>
    <n v="14.382184000000001"/>
    <x v="20"/>
    <s v="March"/>
    <s v="Bob Bobson"/>
  </r>
  <r>
    <x v="2"/>
    <x v="2"/>
    <n v="0.32300000000000001"/>
    <n v="20"/>
    <x v="0"/>
    <n v="52.581896"/>
    <n v="13.151801000000001"/>
    <x v="20"/>
    <s v="March"/>
    <s v="Bob Bobson"/>
  </r>
  <r>
    <x v="2"/>
    <x v="2"/>
    <n v="0.27600000000000002"/>
    <n v="21"/>
    <x v="1"/>
    <n v="52.581885"/>
    <n v="13.152811"/>
    <x v="20"/>
    <s v="March"/>
    <s v="Bob Bobson"/>
  </r>
  <r>
    <x v="2"/>
    <x v="2"/>
    <n v="0.33900000000000002"/>
    <n v="21"/>
    <x v="0"/>
    <n v="52.587248000000002"/>
    <n v="13.151498999999999"/>
    <x v="20"/>
    <s v="March"/>
    <s v="Bob Bobson"/>
  </r>
  <r>
    <x v="2"/>
    <x v="2"/>
    <n v="0.34"/>
    <n v="19"/>
    <x v="1"/>
    <n v="52.582369999999997"/>
    <n v="13.146855"/>
    <x v="20"/>
    <s v="March"/>
    <s v="Bob Bobson"/>
  </r>
  <r>
    <x v="0"/>
    <x v="4"/>
    <n v="750"/>
    <n v="242"/>
    <x v="0"/>
    <n v="50.638137"/>
    <n v="14.838129"/>
    <x v="20"/>
    <s v="March"/>
    <s v="John Johnson"/>
  </r>
  <r>
    <x v="0"/>
    <x v="4"/>
    <n v="35"/>
    <n v="110"/>
    <x v="0"/>
    <n v="50.640732999999997"/>
    <n v="14.84516"/>
    <x v="20"/>
    <s v="March"/>
    <s v="John Johnson"/>
  </r>
  <r>
    <x v="0"/>
    <x v="4"/>
    <n v="360"/>
    <n v="175"/>
    <x v="1"/>
    <n v="50.636642000000002"/>
    <n v="14.847946"/>
    <x v="20"/>
    <s v="March"/>
    <s v="John Johnson"/>
  </r>
  <r>
    <x v="3"/>
    <x v="4"/>
    <n v="1.1000000000000001"/>
    <n v="18"/>
    <x v="1"/>
    <n v="49.939473999999997"/>
    <n v="14.180897"/>
    <x v="20"/>
    <s v="March"/>
    <s v="John Johnson"/>
  </r>
  <r>
    <x v="2"/>
    <x v="4"/>
    <n v="0.33500000000000002"/>
    <n v="20"/>
    <x v="0"/>
    <n v="49.938958"/>
    <n v="14.181258"/>
    <x v="20"/>
    <s v="March"/>
    <s v="John Johnson"/>
  </r>
  <r>
    <x v="2"/>
    <x v="3"/>
    <n v="0.27300000000000002"/>
    <n v="23"/>
    <x v="0"/>
    <n v="48.185898000000002"/>
    <n v="17.090682999999999"/>
    <x v="20"/>
    <s v="March"/>
    <s v="John Johnson"/>
  </r>
  <r>
    <x v="2"/>
    <x v="3"/>
    <n v="0.33"/>
    <n v="19"/>
    <x v="0"/>
    <n v="48.186672000000002"/>
    <n v="17.091508000000001"/>
    <x v="20"/>
    <s v="March"/>
    <s v="John Johnson"/>
  </r>
  <r>
    <x v="2"/>
    <x v="3"/>
    <n v="0.32900000000000001"/>
    <n v="19"/>
    <x v="1"/>
    <n v="48.18685"/>
    <n v="17.091228000000001"/>
    <x v="20"/>
    <s v="March"/>
    <s v="John Johnson"/>
  </r>
  <r>
    <x v="0"/>
    <x v="0"/>
    <n v="1000"/>
    <n v="320"/>
    <x v="0"/>
    <n v="52.825470000000003"/>
    <n v="23.81307"/>
    <x v="21"/>
    <s v="March"/>
    <s v="Anne Anthony"/>
  </r>
  <r>
    <x v="3"/>
    <x v="1"/>
    <n v="1.1000000000000001"/>
    <n v="18"/>
    <x v="0"/>
    <n v="48.503062"/>
    <n v="20.551697999999998"/>
    <x v="21"/>
    <s v="March"/>
    <s v="Anne Anthony"/>
  </r>
  <r>
    <x v="2"/>
    <x v="2"/>
    <n v="0.30599999999999999"/>
    <n v="23"/>
    <x v="0"/>
    <n v="52.584352000000003"/>
    <n v="13.148089000000001"/>
    <x v="21"/>
    <s v="March"/>
    <s v="Bob Bobson"/>
  </r>
  <r>
    <x v="2"/>
    <x v="2"/>
    <n v="0.33400000000000002"/>
    <n v="19"/>
    <x v="0"/>
    <n v="52.587862999999999"/>
    <n v="13.147785000000001"/>
    <x v="21"/>
    <s v="March"/>
    <s v="Bob Bobson"/>
  </r>
  <r>
    <x v="2"/>
    <x v="2"/>
    <n v="0.33400000000000002"/>
    <n v="21"/>
    <x v="0"/>
    <n v="52.587733999999998"/>
    <n v="13.151377999999999"/>
    <x v="21"/>
    <s v="March"/>
    <s v="Bob Bobson"/>
  </r>
  <r>
    <x v="2"/>
    <x v="2"/>
    <n v="0.32900000000000001"/>
    <n v="19"/>
    <x v="1"/>
    <n v="52.582754000000001"/>
    <n v="13.145364000000001"/>
    <x v="21"/>
    <s v="March"/>
    <s v="Bob Bobson"/>
  </r>
  <r>
    <x v="2"/>
    <x v="2"/>
    <n v="0.317"/>
    <n v="22"/>
    <x v="0"/>
    <n v="52.585517000000003"/>
    <n v="13.150878000000001"/>
    <x v="21"/>
    <s v="March"/>
    <s v="Bob Bobson"/>
  </r>
  <r>
    <x v="2"/>
    <x v="2"/>
    <n v="0.26700000000000002"/>
    <n v="21"/>
    <x v="1"/>
    <n v="52.588833999999999"/>
    <n v="13.15192"/>
    <x v="21"/>
    <s v="March"/>
    <s v="Bob Bobson"/>
  </r>
  <r>
    <x v="0"/>
    <x v="4"/>
    <n v="603"/>
    <n v="291"/>
    <x v="0"/>
    <n v="50.644812999999999"/>
    <n v="14.839817"/>
    <x v="21"/>
    <s v="March"/>
    <s v="John Johnson"/>
  </r>
  <r>
    <x v="0"/>
    <x v="4"/>
    <n v="717"/>
    <n v="305"/>
    <x v="0"/>
    <n v="50.635565"/>
    <n v="14.839320000000001"/>
    <x v="21"/>
    <s v="March"/>
    <s v="John Johnson"/>
  </r>
  <r>
    <x v="0"/>
    <x v="4"/>
    <n v="390"/>
    <n v="145"/>
    <x v="1"/>
    <n v="50.639856000000002"/>
    <n v="14.847626"/>
    <x v="21"/>
    <s v="March"/>
    <s v="John Johnson"/>
  </r>
  <r>
    <x v="3"/>
    <x v="4"/>
    <n v="0.6"/>
    <n v="21"/>
    <x v="1"/>
    <n v="49.939062"/>
    <n v="14.178750000000001"/>
    <x v="21"/>
    <s v="March"/>
    <s v="John Johnson"/>
  </r>
  <r>
    <x v="3"/>
    <x v="4"/>
    <n v="1.1000000000000001"/>
    <n v="21"/>
    <x v="0"/>
    <n v="49.939165000000003"/>
    <n v="14.182528"/>
    <x v="21"/>
    <s v="March"/>
    <s v="John Johnson"/>
  </r>
  <r>
    <x v="3"/>
    <x v="4"/>
    <n v="0.7"/>
    <n v="18"/>
    <x v="1"/>
    <n v="49.937562"/>
    <n v="14.181101"/>
    <x v="21"/>
    <s v="March"/>
    <s v="John Johnson"/>
  </r>
  <r>
    <x v="3"/>
    <x v="4"/>
    <n v="1.2"/>
    <n v="23"/>
    <x v="0"/>
    <n v="49.939200999999997"/>
    <n v="14.178922999999999"/>
    <x v="21"/>
    <s v="March"/>
    <s v="John Johnson"/>
  </r>
  <r>
    <x v="1"/>
    <x v="3"/>
    <n v="25"/>
    <n v="96"/>
    <x v="1"/>
    <n v="48.410693000000002"/>
    <n v="18.832844999999999"/>
    <x v="21"/>
    <s v="March"/>
    <s v="John Johnson"/>
  </r>
  <r>
    <x v="0"/>
    <x v="0"/>
    <n v="660"/>
    <n v="246"/>
    <x v="1"/>
    <n v="52.824078999999998"/>
    <n v="23.81279"/>
    <x v="22"/>
    <s v="March"/>
    <s v="Anne Anthony"/>
  </r>
  <r>
    <x v="0"/>
    <x v="0"/>
    <n v="619"/>
    <n v="248"/>
    <x v="1"/>
    <n v="52.826081000000002"/>
    <n v="23.815823000000002"/>
    <x v="22"/>
    <s v="March"/>
    <s v="Anne Anthony"/>
  </r>
  <r>
    <x v="3"/>
    <x v="1"/>
    <n v="0.6"/>
    <n v="19"/>
    <x v="1"/>
    <n v="48.503498"/>
    <n v="20.539662"/>
    <x v="22"/>
    <s v="March"/>
    <s v="Anne Anthony"/>
  </r>
  <r>
    <x v="3"/>
    <x v="1"/>
    <n v="0.8"/>
    <n v="25"/>
    <x v="0"/>
    <n v="48.509298000000001"/>
    <n v="20.551977000000001"/>
    <x v="22"/>
    <s v="March"/>
    <s v="Anne Anthony"/>
  </r>
  <r>
    <x v="3"/>
    <x v="1"/>
    <n v="0.4"/>
    <n v="15"/>
    <x v="1"/>
    <n v="48.506205999999999"/>
    <n v="20.565308000000002"/>
    <x v="22"/>
    <s v="March"/>
    <s v="Anne Anthony"/>
  </r>
  <r>
    <x v="3"/>
    <x v="1"/>
    <n v="1.1000000000000001"/>
    <n v="22"/>
    <x v="0"/>
    <n v="48.505090000000003"/>
    <n v="20.539448"/>
    <x v="22"/>
    <s v="March"/>
    <s v="Anne Anthony"/>
  </r>
  <r>
    <x v="3"/>
    <x v="0"/>
    <n v="0.8"/>
    <n v="20"/>
    <x v="1"/>
    <n v="52.215038999999997"/>
    <n v="21.032591"/>
    <x v="22"/>
    <s v="March"/>
    <s v="Anne Anthony"/>
  </r>
  <r>
    <x v="3"/>
    <x v="0"/>
    <n v="0.5"/>
    <n v="19"/>
    <x v="1"/>
    <n v="52.215085000000002"/>
    <n v="21.034198"/>
    <x v="22"/>
    <s v="March"/>
    <s v="Anne Anthony"/>
  </r>
  <r>
    <x v="2"/>
    <x v="0"/>
    <n v="0.34799999999999998"/>
    <n v="20"/>
    <x v="1"/>
    <n v="50.04186"/>
    <n v="19.950192000000001"/>
    <x v="22"/>
    <s v="March"/>
    <s v="Anne Anthony"/>
  </r>
  <r>
    <x v="2"/>
    <x v="1"/>
    <n v="0.30099999999999999"/>
    <n v="18"/>
    <x v="0"/>
    <n v="47.510260000000002"/>
    <n v="18.947838000000001"/>
    <x v="22"/>
    <s v="March"/>
    <s v="Anne Anthony"/>
  </r>
  <r>
    <x v="3"/>
    <x v="4"/>
    <n v="0.7"/>
    <n v="20"/>
    <x v="1"/>
    <n v="49.937454000000002"/>
    <n v="14.182121"/>
    <x v="22"/>
    <s v="March"/>
    <s v="John Johnson"/>
  </r>
  <r>
    <x v="3"/>
    <x v="4"/>
    <n v="1"/>
    <n v="21"/>
    <x v="1"/>
    <n v="49.937787999999998"/>
    <n v="14.180368"/>
    <x v="22"/>
    <s v="March"/>
    <s v="John Johnson"/>
  </r>
  <r>
    <x v="2"/>
    <x v="0"/>
    <n v="0.28599999999999998"/>
    <n v="20"/>
    <x v="1"/>
    <n v="50.041130000000003"/>
    <n v="19.949698000000001"/>
    <x v="23"/>
    <s v="March"/>
    <s v="Anne Anthony"/>
  </r>
  <r>
    <x v="2"/>
    <x v="0"/>
    <n v="0.28199999999999997"/>
    <n v="21"/>
    <x v="1"/>
    <n v="50.041522000000001"/>
    <n v="19.950562999999999"/>
    <x v="23"/>
    <s v="March"/>
    <s v="Anne Anthony"/>
  </r>
  <r>
    <x v="3"/>
    <x v="5"/>
    <n v="0.8"/>
    <n v="18"/>
    <x v="0"/>
    <n v="47.781882000000003"/>
    <n v="14.384802000000001"/>
    <x v="23"/>
    <s v="March"/>
    <s v="Bob Bobson"/>
  </r>
  <r>
    <x v="3"/>
    <x v="5"/>
    <n v="0.6"/>
    <n v="19"/>
    <x v="0"/>
    <n v="47.781019000000001"/>
    <n v="14.385089000000001"/>
    <x v="23"/>
    <s v="March"/>
    <s v="Bob Bobson"/>
  </r>
  <r>
    <x v="3"/>
    <x v="5"/>
    <n v="0.5"/>
    <n v="20"/>
    <x v="0"/>
    <n v="47.319781999999996"/>
    <n v="11.190835999999999"/>
    <x v="23"/>
    <s v="March"/>
    <s v="Bob Bobson"/>
  </r>
  <r>
    <x v="3"/>
    <x v="5"/>
    <n v="0.6"/>
    <n v="16"/>
    <x v="1"/>
    <n v="47.32002"/>
    <n v="11.18557"/>
    <x v="23"/>
    <s v="March"/>
    <s v="Bob Bobson"/>
  </r>
  <r>
    <x v="3"/>
    <x v="5"/>
    <n v="0.6"/>
    <n v="20"/>
    <x v="0"/>
    <n v="47.318792999999999"/>
    <n v="11.185855"/>
    <x v="23"/>
    <s v="March"/>
    <s v="Bob Bobson"/>
  </r>
  <r>
    <x v="3"/>
    <x v="5"/>
    <n v="1.1000000000000001"/>
    <n v="23"/>
    <x v="1"/>
    <n v="47.316963000000001"/>
    <n v="11.188761"/>
    <x v="23"/>
    <s v="March"/>
    <s v="Bob Bobson"/>
  </r>
  <r>
    <x v="3"/>
    <x v="2"/>
    <n v="0.8"/>
    <n v="16"/>
    <x v="0"/>
    <n v="52.582071999999997"/>
    <n v="13.149184999999999"/>
    <x v="23"/>
    <s v="March"/>
    <s v="Bob Bobson"/>
  </r>
  <r>
    <x v="3"/>
    <x v="2"/>
    <n v="1.2"/>
    <n v="23"/>
    <x v="0"/>
    <n v="52.585720000000002"/>
    <n v="13.148612999999999"/>
    <x v="23"/>
    <s v="March"/>
    <s v="Bob Bobson"/>
  </r>
  <r>
    <x v="3"/>
    <x v="2"/>
    <n v="0.7"/>
    <n v="19"/>
    <x v="1"/>
    <n v="52.587826999999997"/>
    <n v="13.148164"/>
    <x v="23"/>
    <s v="March"/>
    <s v="Bob Bobson"/>
  </r>
  <r>
    <x v="3"/>
    <x v="2"/>
    <n v="0.9"/>
    <n v="151"/>
    <x v="1"/>
    <n v="52.583004000000003"/>
    <n v="13.150686"/>
    <x v="23"/>
    <s v="March"/>
    <s v="Bob Bobson"/>
  </r>
  <r>
    <x v="3"/>
    <x v="2"/>
    <n v="1.2"/>
    <n v="22"/>
    <x v="0"/>
    <n v="52.587057999999999"/>
    <n v="13.149675"/>
    <x v="23"/>
    <s v="March"/>
    <s v="Bob Bobson"/>
  </r>
  <r>
    <x v="3"/>
    <x v="2"/>
    <n v="0.7"/>
    <n v="16"/>
    <x v="1"/>
    <n v="52.587539"/>
    <n v="13.146575"/>
    <x v="23"/>
    <s v="March"/>
    <s v="Bob Bobson"/>
  </r>
  <r>
    <x v="3"/>
    <x v="2"/>
    <n v="0.6"/>
    <n v="25"/>
    <x v="0"/>
    <n v="52.587183000000003"/>
    <n v="13.146661"/>
    <x v="23"/>
    <s v="March"/>
    <s v="Bob Bobson"/>
  </r>
  <r>
    <x v="3"/>
    <x v="2"/>
    <n v="1"/>
    <n v="24"/>
    <x v="0"/>
    <n v="52.586486999999998"/>
    <n v="13.150015"/>
    <x v="23"/>
    <s v="March"/>
    <s v="Bob Bobson"/>
  </r>
  <r>
    <x v="2"/>
    <x v="2"/>
    <n v="0.313"/>
    <n v="23"/>
    <x v="1"/>
    <n v="52.588779000000002"/>
    <n v="13.147948"/>
    <x v="23"/>
    <s v="March"/>
    <s v="Bob Bobson"/>
  </r>
  <r>
    <x v="2"/>
    <x v="2"/>
    <n v="0.26800000000000002"/>
    <n v="21"/>
    <x v="0"/>
    <n v="52.587088999999999"/>
    <n v="13.151807"/>
    <x v="23"/>
    <s v="March"/>
    <s v="Bob Bobson"/>
  </r>
  <r>
    <x v="2"/>
    <x v="5"/>
    <n v="0.32300000000000001"/>
    <n v="21"/>
    <x v="0"/>
    <n v="47.781846999999999"/>
    <n v="14.386835"/>
    <x v="23"/>
    <s v="March"/>
    <s v="Bob Bobson"/>
  </r>
  <r>
    <x v="2"/>
    <x v="5"/>
    <n v="0.27200000000000002"/>
    <n v="20"/>
    <x v="1"/>
    <n v="47.781295999999998"/>
    <n v="14.383799"/>
    <x v="23"/>
    <s v="March"/>
    <s v="Bob Bobson"/>
  </r>
  <r>
    <x v="2"/>
    <x v="5"/>
    <n v="0.34"/>
    <n v="20"/>
    <x v="0"/>
    <n v="47.781537999999998"/>
    <n v="14.384561"/>
    <x v="23"/>
    <s v="March"/>
    <s v="Bob Bobson"/>
  </r>
  <r>
    <x v="2"/>
    <x v="5"/>
    <n v="0.33200000000000002"/>
    <n v="18"/>
    <x v="1"/>
    <n v="47.781345000000002"/>
    <n v="14.382936000000001"/>
    <x v="23"/>
    <s v="March"/>
    <s v="Bob Bobson"/>
  </r>
  <r>
    <x v="2"/>
    <x v="2"/>
    <n v="0.28599999999999998"/>
    <n v="19"/>
    <x v="1"/>
    <n v="52.582658000000002"/>
    <n v="13.148057"/>
    <x v="23"/>
    <s v="March"/>
    <s v="Bob Bobson"/>
  </r>
  <r>
    <x v="3"/>
    <x v="4"/>
    <n v="0.8"/>
    <n v="18"/>
    <x v="0"/>
    <n v="49.938687999999999"/>
    <n v="14.179603"/>
    <x v="23"/>
    <s v="March"/>
    <s v="John Johnson"/>
  </r>
  <r>
    <x v="2"/>
    <x v="4"/>
    <n v="0.33600000000000002"/>
    <n v="22"/>
    <x v="1"/>
    <n v="49.939211999999998"/>
    <n v="14.180839000000001"/>
    <x v="23"/>
    <s v="March"/>
    <s v="John Johnson"/>
  </r>
  <r>
    <x v="2"/>
    <x v="3"/>
    <n v="0.2"/>
    <n v="14"/>
    <x v="1"/>
    <n v="48.186610999999999"/>
    <n v="17.090271000000001"/>
    <x v="23"/>
    <s v="March"/>
    <s v="John Johnson"/>
  </r>
  <r>
    <x v="3"/>
    <x v="0"/>
    <n v="0.9"/>
    <n v="22"/>
    <x v="1"/>
    <n v="52.214494000000002"/>
    <n v="21.033154"/>
    <x v="24"/>
    <s v="March"/>
    <s v="Anne Anthony"/>
  </r>
  <r>
    <x v="3"/>
    <x v="0"/>
    <n v="1"/>
    <n v="21"/>
    <x v="0"/>
    <n v="52.214418999999999"/>
    <n v="21.033441"/>
    <x v="24"/>
    <s v="March"/>
    <s v="Anne Anthony"/>
  </r>
  <r>
    <x v="3"/>
    <x v="4"/>
    <n v="0.4"/>
    <n v="12"/>
    <x v="1"/>
    <n v="49.937893000000003"/>
    <n v="14.18083"/>
    <x v="24"/>
    <s v="March"/>
    <s v="John Johnson"/>
  </r>
  <r>
    <x v="2"/>
    <x v="4"/>
    <n v="0.33600000000000002"/>
    <n v="23"/>
    <x v="0"/>
    <n v="49.939261999999999"/>
    <n v="14.179613"/>
    <x v="24"/>
    <s v="March"/>
    <s v="John Johnson"/>
  </r>
  <r>
    <x v="2"/>
    <x v="3"/>
    <n v="0.254"/>
    <n v="18"/>
    <x v="0"/>
    <n v="48.239854000000001"/>
    <n v="17.086693"/>
    <x v="24"/>
    <s v="March"/>
    <s v="John Johnson"/>
  </r>
  <r>
    <x v="2"/>
    <x v="3"/>
    <n v="0.29399999999999998"/>
    <n v="23"/>
    <x v="0"/>
    <n v="48.226680000000002"/>
    <n v="17.081529"/>
    <x v="24"/>
    <s v="March"/>
    <s v="John Johnson"/>
  </r>
  <r>
    <x v="2"/>
    <x v="3"/>
    <n v="0.26500000000000001"/>
    <n v="22"/>
    <x v="1"/>
    <n v="48.238619999999997"/>
    <n v="17.074393000000001"/>
    <x v="24"/>
    <s v="March"/>
    <s v="John Johnson"/>
  </r>
  <r>
    <x v="0"/>
    <x v="0"/>
    <n v="823"/>
    <n v="305"/>
    <x v="0"/>
    <n v="52.824289999999998"/>
    <n v="23.813465000000001"/>
    <x v="25"/>
    <s v="March"/>
    <s v="Anne Anthony"/>
  </r>
  <r>
    <x v="0"/>
    <x v="0"/>
    <n v="594"/>
    <n v="243"/>
    <x v="0"/>
    <n v="52.825553999999997"/>
    <n v="23.812594000000001"/>
    <x v="25"/>
    <s v="March"/>
    <s v="Anne Anthony"/>
  </r>
  <r>
    <x v="2"/>
    <x v="0"/>
    <n v="0.31"/>
    <n v="24"/>
    <x v="0"/>
    <n v="50.041235"/>
    <n v="19.951284000000001"/>
    <x v="25"/>
    <s v="March"/>
    <s v="Anne Anthony"/>
  </r>
  <r>
    <x v="2"/>
    <x v="1"/>
    <n v="0.251"/>
    <n v="20"/>
    <x v="1"/>
    <n v="47.508617999999998"/>
    <n v="18.944915000000002"/>
    <x v="25"/>
    <s v="March"/>
    <s v="Anne Anthony"/>
  </r>
  <r>
    <x v="3"/>
    <x v="4"/>
    <n v="0.7"/>
    <n v="16"/>
    <x v="0"/>
    <n v="49.939149999999998"/>
    <n v="14.179387999999999"/>
    <x v="25"/>
    <s v="March"/>
    <s v="John Johnson"/>
  </r>
  <r>
    <x v="3"/>
    <x v="4"/>
    <n v="0.6"/>
    <n v="17"/>
    <x v="1"/>
    <n v="49.938346000000003"/>
    <n v="14.18024"/>
    <x v="25"/>
    <s v="March"/>
    <s v="John Johnson"/>
  </r>
  <r>
    <x v="3"/>
    <x v="0"/>
    <n v="1.1000000000000001"/>
    <n v="20"/>
    <x v="1"/>
    <n v="52.214765999999997"/>
    <n v="21.030532000000001"/>
    <x v="26"/>
    <s v="March"/>
    <s v="Anne Anthony"/>
  </r>
  <r>
    <x v="2"/>
    <x v="0"/>
    <n v="0.33600000000000002"/>
    <n v="19"/>
    <x v="0"/>
    <n v="50.041488999999999"/>
    <n v="19.950768"/>
    <x v="26"/>
    <s v="March"/>
    <s v="Anne Anthony"/>
  </r>
  <r>
    <x v="3"/>
    <x v="2"/>
    <n v="0.7"/>
    <n v="23"/>
    <x v="1"/>
    <n v="52.587532000000003"/>
    <n v="13.152361000000001"/>
    <x v="26"/>
    <s v="March"/>
    <s v="Bob Bobson"/>
  </r>
  <r>
    <x v="3"/>
    <x v="2"/>
    <n v="0.7"/>
    <n v="17"/>
    <x v="0"/>
    <n v="48.161583999999998"/>
    <n v="11.494937999999999"/>
    <x v="26"/>
    <s v="March"/>
    <s v="Bob Bobson"/>
  </r>
  <r>
    <x v="3"/>
    <x v="2"/>
    <n v="0.9"/>
    <n v="18"/>
    <x v="1"/>
    <n v="48.160459000000003"/>
    <n v="11.493142000000001"/>
    <x v="26"/>
    <s v="March"/>
    <s v="Bob Bobson"/>
  </r>
  <r>
    <x v="3"/>
    <x v="2"/>
    <n v="0.5"/>
    <n v="20"/>
    <x v="0"/>
    <n v="48.160834000000001"/>
    <n v="11.489874"/>
    <x v="26"/>
    <s v="March"/>
    <s v="Bob Bobson"/>
  </r>
  <r>
    <x v="3"/>
    <x v="4"/>
    <n v="0.5"/>
    <n v="16"/>
    <x v="0"/>
    <n v="49.938845000000001"/>
    <n v="14.182245999999999"/>
    <x v="26"/>
    <s v="March"/>
    <s v="John Johnson"/>
  </r>
  <r>
    <x v="3"/>
    <x v="4"/>
    <n v="0.8"/>
    <n v="17"/>
    <x v="1"/>
    <n v="49.938958999999997"/>
    <n v="14.180078"/>
    <x v="26"/>
    <s v="March"/>
    <s v="John Johnson"/>
  </r>
  <r>
    <x v="2"/>
    <x v="4"/>
    <n v="0.27700000000000002"/>
    <n v="22"/>
    <x v="0"/>
    <n v="49.939096999999997"/>
    <n v="14.179435"/>
    <x v="26"/>
    <s v="March"/>
    <s v="John Johnson"/>
  </r>
  <r>
    <x v="2"/>
    <x v="3"/>
    <n v="0.32100000000000001"/>
    <n v="18"/>
    <x v="1"/>
    <n v="48.226708000000002"/>
    <n v="17.087852999999999"/>
    <x v="26"/>
    <s v="March"/>
    <s v="John Johnson"/>
  </r>
  <r>
    <x v="2"/>
    <x v="4"/>
    <n v="0.27100000000000002"/>
    <n v="19"/>
    <x v="1"/>
    <n v="49.938523000000004"/>
    <n v="14.18244"/>
    <x v="26"/>
    <s v="March"/>
    <s v="John Johnson"/>
  </r>
  <r>
    <x v="0"/>
    <x v="0"/>
    <n v="510"/>
    <n v="222"/>
    <x v="1"/>
    <n v="52.807537000000004"/>
    <n v="23.700908999999999"/>
    <x v="27"/>
    <s v="March"/>
    <s v="Anne Anthony"/>
  </r>
  <r>
    <x v="2"/>
    <x v="0"/>
    <n v="0.32800000000000001"/>
    <n v="23"/>
    <x v="1"/>
    <n v="50.041504000000003"/>
    <n v="19.950218"/>
    <x v="27"/>
    <s v="March"/>
    <s v="Anne Anthony"/>
  </r>
  <r>
    <x v="2"/>
    <x v="0"/>
    <n v="0.27800000000000002"/>
    <n v="23"/>
    <x v="1"/>
    <n v="50.041119000000002"/>
    <n v="19.949729999999999"/>
    <x v="27"/>
    <s v="March"/>
    <s v="Anne Anthony"/>
  </r>
  <r>
    <x v="3"/>
    <x v="4"/>
    <n v="0.6"/>
    <n v="18"/>
    <x v="1"/>
    <n v="49.937804999999997"/>
    <n v="14.179716000000001"/>
    <x v="27"/>
    <s v="March"/>
    <s v="John Johnson"/>
  </r>
  <r>
    <x v="3"/>
    <x v="4"/>
    <n v="0.7"/>
    <n v="15"/>
    <x v="1"/>
    <n v="49.939329999999998"/>
    <n v="14.177877000000001"/>
    <x v="27"/>
    <s v="March"/>
    <s v="John Johnson"/>
  </r>
  <r>
    <x v="2"/>
    <x v="1"/>
    <n v="0.27300000000000002"/>
    <n v="23"/>
    <x v="1"/>
    <n v="47.507156999999999"/>
    <n v="18.940379"/>
    <x v="28"/>
    <s v="March"/>
    <s v="Anne Anthony"/>
  </r>
  <r>
    <x v="2"/>
    <x v="5"/>
    <n v="0.33600000000000002"/>
    <n v="20"/>
    <x v="1"/>
    <n v="47.780752"/>
    <n v="14.383452"/>
    <x v="28"/>
    <s v="March"/>
    <s v="Bob Bobson"/>
  </r>
  <r>
    <x v="2"/>
    <x v="5"/>
    <n v="0.28999999999999998"/>
    <n v="19"/>
    <x v="0"/>
    <n v="47.781078000000001"/>
    <n v="14.384558999999999"/>
    <x v="28"/>
    <s v="March"/>
    <s v="Bob Bobson"/>
  </r>
  <r>
    <x v="2"/>
    <x v="5"/>
    <n v="0.33700000000000002"/>
    <n v="22"/>
    <x v="0"/>
    <n v="47.781087999999997"/>
    <n v="14.385534"/>
    <x v="28"/>
    <s v="March"/>
    <s v="Bob Bobson"/>
  </r>
  <r>
    <x v="3"/>
    <x v="3"/>
    <n v="0.7"/>
    <n v="16"/>
    <x v="0"/>
    <n v="48.409137999999999"/>
    <n v="18.863576999999999"/>
    <x v="28"/>
    <s v="March"/>
    <s v="John Johnson"/>
  </r>
  <r>
    <x v="1"/>
    <x v="3"/>
    <n v="16"/>
    <n v="62"/>
    <x v="1"/>
    <n v="48.409447999999998"/>
    <n v="18.845590999999999"/>
    <x v="28"/>
    <s v="March"/>
    <s v="John Johnson"/>
  </r>
  <r>
    <x v="2"/>
    <x v="0"/>
    <n v="0.28899999999999998"/>
    <n v="24"/>
    <x v="0"/>
    <n v="50.041381999999999"/>
    <n v="19.949403"/>
    <x v="29"/>
    <s v="March"/>
    <s v="Anne Anthony"/>
  </r>
  <r>
    <x v="3"/>
    <x v="2"/>
    <n v="1.1000000000000001"/>
    <n v="25"/>
    <x v="0"/>
    <n v="48.160772999999999"/>
    <n v="11.493679999999999"/>
    <x v="29"/>
    <s v="March"/>
    <s v="Bob Bobson"/>
  </r>
  <r>
    <x v="3"/>
    <x v="2"/>
    <n v="0.6"/>
    <n v="15"/>
    <x v="1"/>
    <n v="48.160812999999997"/>
    <n v="11.492539000000001"/>
    <x v="29"/>
    <s v="March"/>
    <s v="Bob Bobson"/>
  </r>
  <r>
    <x v="3"/>
    <x v="2"/>
    <n v="0.5"/>
    <n v="20"/>
    <x v="1"/>
    <n v="48.161605000000002"/>
    <n v="11.491149999999999"/>
    <x v="29"/>
    <s v="March"/>
    <s v="Bob Bobson"/>
  </r>
  <r>
    <x v="3"/>
    <x v="2"/>
    <n v="0.7"/>
    <n v="20"/>
    <x v="0"/>
    <n v="48.162593000000001"/>
    <n v="11.491872000000001"/>
    <x v="29"/>
    <s v="March"/>
    <s v="Bob Bobson"/>
  </r>
  <r>
    <x v="3"/>
    <x v="2"/>
    <n v="0.6"/>
    <n v="15"/>
    <x v="1"/>
    <n v="48.16142"/>
    <n v="11.495056"/>
    <x v="29"/>
    <s v="March"/>
    <s v="Bob Bobson"/>
  </r>
  <r>
    <x v="3"/>
    <x v="2"/>
    <n v="0.5"/>
    <n v="16"/>
    <x v="1"/>
    <n v="48.162548999999999"/>
    <n v="11.492991"/>
    <x v="29"/>
    <s v="March"/>
    <s v="Bob Bobson"/>
  </r>
  <r>
    <x v="3"/>
    <x v="2"/>
    <n v="0.9"/>
    <n v="19"/>
    <x v="0"/>
    <n v="48.161645999999998"/>
    <n v="11.493511"/>
    <x v="29"/>
    <s v="March"/>
    <s v="Bob Bobson"/>
  </r>
  <r>
    <x v="1"/>
    <x v="3"/>
    <n v="21"/>
    <n v="85"/>
    <x v="0"/>
    <n v="48.405213000000003"/>
    <n v="18.84085"/>
    <x v="29"/>
    <s v="March"/>
    <s v="John Johnson"/>
  </r>
  <r>
    <x v="2"/>
    <x v="4"/>
    <n v="0.28799999999999998"/>
    <n v="18"/>
    <x v="0"/>
    <n v="49.939"/>
    <n v="14.182238999999999"/>
    <x v="29"/>
    <s v="March"/>
    <s v="John Johnson"/>
  </r>
  <r>
    <x v="2"/>
    <x v="3"/>
    <n v="0.28699999999999998"/>
    <n v="21"/>
    <x v="0"/>
    <n v="48.224896999999999"/>
    <n v="17.085978999999998"/>
    <x v="29"/>
    <s v="March"/>
    <s v="John Johnson"/>
  </r>
  <r>
    <x v="2"/>
    <x v="3"/>
    <n v="0.28599999999999998"/>
    <n v="18"/>
    <x v="0"/>
    <n v="48.228960999999998"/>
    <n v="17.076478000000002"/>
    <x v="29"/>
    <s v="March"/>
    <s v="John Johnson"/>
  </r>
  <r>
    <x v="0"/>
    <x v="0"/>
    <n v="970"/>
    <n v="307"/>
    <x v="0"/>
    <n v="52.805402000000001"/>
    <n v="23.691244000000001"/>
    <x v="30"/>
    <s v="March"/>
    <s v="Anne Anthony"/>
  </r>
  <r>
    <x v="2"/>
    <x v="0"/>
    <n v="0.32300000000000001"/>
    <n v="20"/>
    <x v="1"/>
    <n v="50.041365999999996"/>
    <n v="19.949444"/>
    <x v="30"/>
    <s v="March"/>
    <s v="Anne Anthony"/>
  </r>
  <r>
    <x v="2"/>
    <x v="1"/>
    <n v="0.25"/>
    <n v="19"/>
    <x v="1"/>
    <n v="47.509537999999999"/>
    <n v="18.945968000000001"/>
    <x v="30"/>
    <s v="March"/>
    <s v="Anne Anthony"/>
  </r>
  <r>
    <x v="3"/>
    <x v="3"/>
    <n v="0.9"/>
    <n v="19"/>
    <x v="1"/>
    <n v="48.407463999999997"/>
    <n v="18.87406"/>
    <x v="30"/>
    <s v="March"/>
    <s v="John Johnson"/>
  </r>
  <r>
    <x v="1"/>
    <x v="3"/>
    <n v="20"/>
    <n v="78"/>
    <x v="1"/>
    <n v="48.409790000000001"/>
    <n v="18.870341"/>
    <x v="30"/>
    <s v="March"/>
    <s v="John Johnson"/>
  </r>
  <r>
    <x v="0"/>
    <x v="0"/>
    <n v="459"/>
    <n v="212"/>
    <x v="1"/>
    <n v="52.807403000000001"/>
    <n v="23.683043999999999"/>
    <x v="31"/>
    <s v="April"/>
    <s v="Anne Anthony"/>
  </r>
  <r>
    <x v="0"/>
    <x v="0"/>
    <n v="705"/>
    <n v="280"/>
    <x v="1"/>
    <n v="52.803733000000001"/>
    <n v="23.686928000000002"/>
    <x v="31"/>
    <s v="April"/>
    <s v="Anne Anthony"/>
  </r>
  <r>
    <x v="2"/>
    <x v="0"/>
    <n v="0.32300000000000001"/>
    <n v="19"/>
    <x v="1"/>
    <n v="50.041803999999999"/>
    <n v="19.951360999999999"/>
    <x v="31"/>
    <s v="April"/>
    <s v="Anne Anthony"/>
  </r>
  <r>
    <x v="2"/>
    <x v="1"/>
    <n v="0.33700000000000002"/>
    <n v="18"/>
    <x v="1"/>
    <n v="47.511558000000001"/>
    <n v="18.942454000000001"/>
    <x v="31"/>
    <s v="April"/>
    <s v="Anne Anthony"/>
  </r>
  <r>
    <x v="3"/>
    <x v="3"/>
    <n v="1.1000000000000001"/>
    <n v="22"/>
    <x v="0"/>
    <n v="48.409754"/>
    <n v="18.870477000000001"/>
    <x v="31"/>
    <s v="April"/>
    <s v="John Johnson"/>
  </r>
  <r>
    <x v="1"/>
    <x v="4"/>
    <n v="26"/>
    <n v="81"/>
    <x v="1"/>
    <n v="50.884011999999998"/>
    <n v="14.370554"/>
    <x v="31"/>
    <s v="April"/>
    <s v="John Johnson"/>
  </r>
  <r>
    <x v="2"/>
    <x v="4"/>
    <n v="0.28299999999999997"/>
    <n v="22"/>
    <x v="1"/>
    <n v="49.939191000000001"/>
    <n v="14.180256"/>
    <x v="31"/>
    <s v="April"/>
    <s v="John Johnson"/>
  </r>
  <r>
    <x v="2"/>
    <x v="3"/>
    <n v="0.26"/>
    <n v="22"/>
    <x v="1"/>
    <n v="48.231229999999996"/>
    <n v="17.090253000000001"/>
    <x v="31"/>
    <s v="April"/>
    <s v="John Johnson"/>
  </r>
  <r>
    <x v="3"/>
    <x v="1"/>
    <n v="0.6"/>
    <n v="20"/>
    <x v="1"/>
    <n v="48.504424999999998"/>
    <n v="20.548743999999999"/>
    <x v="32"/>
    <s v="April"/>
    <s v="Anne Anthony"/>
  </r>
  <r>
    <x v="1"/>
    <x v="0"/>
    <n v="22"/>
    <n v="101"/>
    <x v="0"/>
    <n v="52.824598999999999"/>
    <n v="23.816842000000001"/>
    <x v="32"/>
    <s v="April"/>
    <s v="Anne Anthony"/>
  </r>
  <r>
    <x v="2"/>
    <x v="0"/>
    <n v="0.29399999999999998"/>
    <n v="19"/>
    <x v="0"/>
    <n v="50.041131"/>
    <n v="19.949542999999998"/>
    <x v="32"/>
    <s v="April"/>
    <s v="Anne Anthony"/>
  </r>
  <r>
    <x v="2"/>
    <x v="0"/>
    <n v="0.32800000000000001"/>
    <n v="20"/>
    <x v="0"/>
    <n v="50.041552000000003"/>
    <n v="19.949984000000001"/>
    <x v="32"/>
    <s v="April"/>
    <s v="Anne Anthony"/>
  </r>
  <r>
    <x v="2"/>
    <x v="0"/>
    <n v="0.312"/>
    <n v="23"/>
    <x v="1"/>
    <n v="50.041944999999998"/>
    <n v="19.94932"/>
    <x v="32"/>
    <s v="April"/>
    <s v="Anne Anthony"/>
  </r>
  <r>
    <x v="2"/>
    <x v="0"/>
    <n v="0.28999999999999998"/>
    <n v="24"/>
    <x v="0"/>
    <n v="50.041924999999999"/>
    <n v="19.950894000000002"/>
    <x v="32"/>
    <s v="April"/>
    <s v="Anne Anthony"/>
  </r>
  <r>
    <x v="2"/>
    <x v="1"/>
    <n v="0.25800000000000001"/>
    <n v="21"/>
    <x v="1"/>
    <n v="47.511581999999997"/>
    <n v="18.942340999999999"/>
    <x v="32"/>
    <s v="April"/>
    <s v="Anne Anthony"/>
  </r>
  <r>
    <x v="3"/>
    <x v="5"/>
    <n v="0.8"/>
    <n v="15"/>
    <x v="1"/>
    <n v="47.319091"/>
    <n v="11.188058"/>
    <x v="32"/>
    <s v="April"/>
    <s v="Bob Bobson"/>
  </r>
  <r>
    <x v="3"/>
    <x v="2"/>
    <n v="0.8"/>
    <n v="18"/>
    <x v="0"/>
    <n v="48.161892000000002"/>
    <n v="11.493888"/>
    <x v="32"/>
    <s v="April"/>
    <s v="Bob Bobson"/>
  </r>
  <r>
    <x v="3"/>
    <x v="2"/>
    <n v="0.6"/>
    <n v="15"/>
    <x v="1"/>
    <n v="48.161217999999998"/>
    <n v="11.494676999999999"/>
    <x v="32"/>
    <s v="April"/>
    <s v="Bob Bobson"/>
  </r>
  <r>
    <x v="3"/>
    <x v="2"/>
    <n v="0.8"/>
    <n v="23"/>
    <x v="0"/>
    <n v="48.161451999999997"/>
    <n v="11.495239"/>
    <x v="32"/>
    <s v="April"/>
    <s v="Bob Bobson"/>
  </r>
  <r>
    <x v="3"/>
    <x v="2"/>
    <n v="0.6"/>
    <n v="16"/>
    <x v="1"/>
    <n v="48.160915000000003"/>
    <n v="11.489927"/>
    <x v="32"/>
    <s v="April"/>
    <s v="Bob Bobson"/>
  </r>
  <r>
    <x v="3"/>
    <x v="2"/>
    <n v="0.7"/>
    <n v="19"/>
    <x v="0"/>
    <n v="48.162168999999999"/>
    <n v="11.495473"/>
    <x v="32"/>
    <s v="April"/>
    <s v="Bob Bobson"/>
  </r>
  <r>
    <x v="3"/>
    <x v="2"/>
    <n v="1"/>
    <n v="25"/>
    <x v="1"/>
    <n v="49.546289999999999"/>
    <n v="11.085729000000001"/>
    <x v="32"/>
    <s v="April"/>
    <s v="Bob Bobson"/>
  </r>
  <r>
    <x v="3"/>
    <x v="2"/>
    <n v="1.1000000000000001"/>
    <n v="23"/>
    <x v="0"/>
    <n v="49.559558000000003"/>
    <n v="11.081149999999999"/>
    <x v="32"/>
    <s v="April"/>
    <s v="Bob Bobson"/>
  </r>
  <r>
    <x v="2"/>
    <x v="5"/>
    <n v="0.27300000000000002"/>
    <n v="19"/>
    <x v="1"/>
    <n v="47.781613"/>
    <n v="14.385153000000001"/>
    <x v="32"/>
    <s v="April"/>
    <s v="Bob Bobson"/>
  </r>
  <r>
    <x v="2"/>
    <x v="5"/>
    <n v="0.33"/>
    <n v="18"/>
    <x v="1"/>
    <n v="47.781637000000003"/>
    <n v="14.385382999999999"/>
    <x v="32"/>
    <s v="April"/>
    <s v="Bob Bobson"/>
  </r>
  <r>
    <x v="2"/>
    <x v="5"/>
    <n v="0.26200000000000001"/>
    <n v="18"/>
    <x v="1"/>
    <n v="47.781838"/>
    <n v="14.382937999999999"/>
    <x v="32"/>
    <s v="April"/>
    <s v="Bob Bobson"/>
  </r>
  <r>
    <x v="2"/>
    <x v="5"/>
    <n v="0.31"/>
    <n v="19"/>
    <x v="1"/>
    <n v="47.780925000000003"/>
    <n v="14.383694999999999"/>
    <x v="32"/>
    <s v="April"/>
    <s v="Bob Bobson"/>
  </r>
  <r>
    <x v="2"/>
    <x v="5"/>
    <n v="0.33400000000000002"/>
    <n v="21"/>
    <x v="1"/>
    <n v="47.781449000000002"/>
    <n v="14.383421"/>
    <x v="32"/>
    <s v="April"/>
    <s v="Bob Bobson"/>
  </r>
  <r>
    <x v="2"/>
    <x v="5"/>
    <n v="0.27"/>
    <n v="20"/>
    <x v="1"/>
    <n v="47.781799999999997"/>
    <n v="14.383699"/>
    <x v="32"/>
    <s v="April"/>
    <s v="Bob Bobson"/>
  </r>
  <r>
    <x v="2"/>
    <x v="5"/>
    <n v="0.27700000000000002"/>
    <n v="18"/>
    <x v="0"/>
    <n v="47.781072999999999"/>
    <n v="14.383506000000001"/>
    <x v="32"/>
    <s v="April"/>
    <s v="Bob Bobson"/>
  </r>
  <r>
    <x v="2"/>
    <x v="2"/>
    <n v="0.25800000000000001"/>
    <n v="19"/>
    <x v="0"/>
    <n v="48.162250999999998"/>
    <n v="11.494811"/>
    <x v="32"/>
    <s v="April"/>
    <s v="Bob Bobson"/>
  </r>
  <r>
    <x v="2"/>
    <x v="2"/>
    <n v="0.25600000000000001"/>
    <n v="16"/>
    <x v="1"/>
    <n v="48.160432"/>
    <n v="11.494472"/>
    <x v="32"/>
    <s v="April"/>
    <s v="Bob Bobson"/>
  </r>
  <r>
    <x v="2"/>
    <x v="2"/>
    <n v="0.317"/>
    <n v="21"/>
    <x v="1"/>
    <n v="48.162562999999999"/>
    <n v="11.495277"/>
    <x v="32"/>
    <s v="April"/>
    <s v="Bob Bobson"/>
  </r>
  <r>
    <x v="2"/>
    <x v="2"/>
    <n v="0.26600000000000001"/>
    <n v="18"/>
    <x v="1"/>
    <n v="48.161906000000002"/>
    <n v="11.490434"/>
    <x v="32"/>
    <s v="April"/>
    <s v="Bob Bobson"/>
  </r>
  <r>
    <x v="2"/>
    <x v="2"/>
    <n v="0.28299999999999997"/>
    <n v="21"/>
    <x v="0"/>
    <n v="49.562323999999997"/>
    <n v="11.092212"/>
    <x v="32"/>
    <s v="April"/>
    <s v="Bob Bobson"/>
  </r>
  <r>
    <x v="2"/>
    <x v="2"/>
    <n v="0.30499999999999999"/>
    <n v="18"/>
    <x v="1"/>
    <n v="49.561973000000002"/>
    <n v="11.086554"/>
    <x v="32"/>
    <s v="April"/>
    <s v="Bob Bobson"/>
  </r>
  <r>
    <x v="2"/>
    <x v="5"/>
    <n v="0.28199999999999997"/>
    <n v="18"/>
    <x v="0"/>
    <n v="47.781754999999997"/>
    <n v="14.385083"/>
    <x v="32"/>
    <s v="April"/>
    <s v="Bob Bobson"/>
  </r>
  <r>
    <x v="2"/>
    <x v="2"/>
    <n v="0.318"/>
    <n v="18"/>
    <x v="0"/>
    <n v="49.557527"/>
    <n v="11.089447"/>
    <x v="32"/>
    <s v="April"/>
    <s v="Bob Bobson"/>
  </r>
  <r>
    <x v="1"/>
    <x v="3"/>
    <n v="27"/>
    <n v="94"/>
    <x v="1"/>
    <n v="48.411163000000002"/>
    <n v="18.864362"/>
    <x v="32"/>
    <s v="April"/>
    <s v="John Johnson"/>
  </r>
  <r>
    <x v="2"/>
    <x v="3"/>
    <n v="0.33900000000000002"/>
    <n v="20"/>
    <x v="0"/>
    <n v="48.410770999999997"/>
    <n v="18.865888000000002"/>
    <x v="32"/>
    <s v="April"/>
    <s v="John Johnson"/>
  </r>
  <r>
    <x v="2"/>
    <x v="3"/>
    <n v="0.30199999999999999"/>
    <n v="19"/>
    <x v="0"/>
    <n v="48.410201000000001"/>
    <n v="18.862513"/>
    <x v="32"/>
    <s v="April"/>
    <s v="John Johnson"/>
  </r>
  <r>
    <x v="2"/>
    <x v="3"/>
    <n v="0.27600000000000002"/>
    <n v="19"/>
    <x v="0"/>
    <n v="48.408110999999998"/>
    <n v="18.865646000000002"/>
    <x v="32"/>
    <s v="April"/>
    <s v="John Johnson"/>
  </r>
  <r>
    <x v="2"/>
    <x v="3"/>
    <n v="0.252"/>
    <n v="19"/>
    <x v="1"/>
    <n v="48.410932000000003"/>
    <n v="18.861704"/>
    <x v="32"/>
    <s v="April"/>
    <s v="John Johnson"/>
  </r>
  <r>
    <x v="2"/>
    <x v="3"/>
    <n v="0.29299999999999998"/>
    <n v="19"/>
    <x v="0"/>
    <n v="48.227614000000003"/>
    <n v="17.072903"/>
    <x v="32"/>
    <s v="April"/>
    <s v="John Johnson"/>
  </r>
  <r>
    <x v="2"/>
    <x v="1"/>
    <n v="0.28599999999999998"/>
    <n v="18"/>
    <x v="0"/>
    <n v="47.50826"/>
    <n v="18.948349"/>
    <x v="33"/>
    <s v="April"/>
    <s v="Anne Anthony"/>
  </r>
  <r>
    <x v="3"/>
    <x v="2"/>
    <n v="1.2"/>
    <n v="22"/>
    <x v="0"/>
    <n v="49.551211000000002"/>
    <n v="11.077661000000001"/>
    <x v="33"/>
    <s v="April"/>
    <s v="Bob Bobson"/>
  </r>
  <r>
    <x v="3"/>
    <x v="2"/>
    <n v="0.9"/>
    <n v="23"/>
    <x v="1"/>
    <n v="49.562582999999997"/>
    <n v="11.082312"/>
    <x v="33"/>
    <s v="April"/>
    <s v="Bob Bobson"/>
  </r>
  <r>
    <x v="3"/>
    <x v="2"/>
    <n v="0.7"/>
    <n v="23"/>
    <x v="1"/>
    <n v="49.547597000000003"/>
    <n v="11.079679"/>
    <x v="33"/>
    <s v="April"/>
    <s v="Bob Bobson"/>
  </r>
  <r>
    <x v="3"/>
    <x v="3"/>
    <n v="1.2"/>
    <n v="26"/>
    <x v="0"/>
    <n v="48.409120000000001"/>
    <n v="18.869274000000001"/>
    <x v="33"/>
    <s v="April"/>
    <s v="John Johnson"/>
  </r>
  <r>
    <x v="2"/>
    <x v="4"/>
    <n v="0.25800000000000001"/>
    <n v="21"/>
    <x v="1"/>
    <n v="49.938786999999998"/>
    <n v="14.178284"/>
    <x v="33"/>
    <s v="April"/>
    <s v="John Johnson"/>
  </r>
  <r>
    <x v="0"/>
    <x v="0"/>
    <n v="1000"/>
    <n v="295"/>
    <x v="0"/>
    <n v="52.809542999999998"/>
    <n v="23.708563999999999"/>
    <x v="34"/>
    <s v="April"/>
    <s v="Anne Anthony"/>
  </r>
  <r>
    <x v="3"/>
    <x v="1"/>
    <n v="0.7"/>
    <n v="23"/>
    <x v="1"/>
    <n v="47.508516"/>
    <n v="18.949428999999999"/>
    <x v="34"/>
    <s v="April"/>
    <s v="Anne Anthony"/>
  </r>
  <r>
    <x v="3"/>
    <x v="1"/>
    <n v="1.2"/>
    <n v="24"/>
    <x v="0"/>
    <n v="47.508941"/>
    <n v="18.948915"/>
    <x v="34"/>
    <s v="April"/>
    <s v="Anne Anthony"/>
  </r>
  <r>
    <x v="2"/>
    <x v="0"/>
    <n v="0.33700000000000002"/>
    <n v="22"/>
    <x v="1"/>
    <n v="50.041818999999997"/>
    <n v="19.951542"/>
    <x v="34"/>
    <s v="April"/>
    <s v="Anne Anthony"/>
  </r>
  <r>
    <x v="2"/>
    <x v="0"/>
    <n v="0.27200000000000002"/>
    <n v="23"/>
    <x v="1"/>
    <n v="50.041800000000002"/>
    <n v="19.950244000000001"/>
    <x v="34"/>
    <s v="April"/>
    <s v="Anne Anthony"/>
  </r>
  <r>
    <x v="2"/>
    <x v="1"/>
    <n v="0.26200000000000001"/>
    <n v="22"/>
    <x v="0"/>
    <n v="47.508904999999999"/>
    <n v="18.946570000000001"/>
    <x v="34"/>
    <s v="April"/>
    <s v="Anne Anthony"/>
  </r>
  <r>
    <x v="0"/>
    <x v="0"/>
    <n v="557"/>
    <n v="255"/>
    <x v="1"/>
    <n v="52.811203999999996"/>
    <n v="23.697814000000001"/>
    <x v="35"/>
    <s v="April"/>
    <s v="Anne Anthony"/>
  </r>
  <r>
    <x v="3"/>
    <x v="1"/>
    <n v="0.8"/>
    <n v="17"/>
    <x v="1"/>
    <n v="47.507072999999998"/>
    <n v="18.947873000000001"/>
    <x v="35"/>
    <s v="April"/>
    <s v="Anne Anthony"/>
  </r>
  <r>
    <x v="3"/>
    <x v="5"/>
    <n v="0.9"/>
    <n v="22"/>
    <x v="1"/>
    <n v="47.31758"/>
    <n v="11.187606000000001"/>
    <x v="35"/>
    <s v="April"/>
    <s v="Bob Bobson"/>
  </r>
  <r>
    <x v="3"/>
    <x v="5"/>
    <n v="0.8"/>
    <n v="16"/>
    <x v="0"/>
    <n v="47.319470000000003"/>
    <n v="11.18573"/>
    <x v="35"/>
    <s v="April"/>
    <s v="Bob Bobson"/>
  </r>
  <r>
    <x v="3"/>
    <x v="5"/>
    <n v="0.7"/>
    <n v="18"/>
    <x v="0"/>
    <n v="47.319811999999999"/>
    <n v="11.18479"/>
    <x v="35"/>
    <s v="April"/>
    <s v="Bob Bobson"/>
  </r>
  <r>
    <x v="3"/>
    <x v="5"/>
    <n v="0.8"/>
    <n v="20"/>
    <x v="1"/>
    <n v="47.316383000000002"/>
    <n v="11.188381"/>
    <x v="35"/>
    <s v="April"/>
    <s v="Bob Bobson"/>
  </r>
  <r>
    <x v="2"/>
    <x v="5"/>
    <n v="0.29899999999999999"/>
    <n v="20"/>
    <x v="1"/>
    <n v="47.781131000000002"/>
    <n v="14.382206999999999"/>
    <x v="35"/>
    <s v="April"/>
    <s v="Bob Bobson"/>
  </r>
  <r>
    <x v="2"/>
    <x v="6"/>
    <n v="0.26600000000000001"/>
    <n v="20"/>
    <x v="1"/>
    <n v="47.781632000000002"/>
    <n v="14.382365"/>
    <x v="35"/>
    <s v="April"/>
    <s v="Bob Bobson"/>
  </r>
  <r>
    <x v="2"/>
    <x v="5"/>
    <n v="0.308"/>
    <n v="18"/>
    <x v="0"/>
    <n v="47.780904"/>
    <n v="14.385669"/>
    <x v="35"/>
    <s v="April"/>
    <s v="Bob Bobson"/>
  </r>
  <r>
    <x v="2"/>
    <x v="5"/>
    <n v="0.26400000000000001"/>
    <n v="22"/>
    <x v="0"/>
    <n v="47.781089000000001"/>
    <n v="14.385211"/>
    <x v="35"/>
    <s v="April"/>
    <s v="Bob Bobson"/>
  </r>
  <r>
    <x v="2"/>
    <x v="5"/>
    <n v="0.32200000000000001"/>
    <n v="20"/>
    <x v="0"/>
    <n v="47.781332999999997"/>
    <n v="14.382547000000001"/>
    <x v="35"/>
    <s v="April"/>
    <s v="Bob Bobson"/>
  </r>
  <r>
    <x v="2"/>
    <x v="5"/>
    <n v="0.33200000000000002"/>
    <n v="18"/>
    <x v="1"/>
    <n v="47.780926999999998"/>
    <n v="14.382187999999999"/>
    <x v="35"/>
    <s v="April"/>
    <s v="Bob Bobson"/>
  </r>
  <r>
    <x v="2"/>
    <x v="5"/>
    <n v="0.253"/>
    <n v="21"/>
    <x v="0"/>
    <n v="47.856031999999999"/>
    <n v="15.076768"/>
    <x v="35"/>
    <s v="April"/>
    <s v="Bob Bobson"/>
  </r>
  <r>
    <x v="2"/>
    <x v="2"/>
    <n v="0.317"/>
    <n v="20"/>
    <x v="1"/>
    <n v="49.545912999999999"/>
    <n v="11.081051"/>
    <x v="35"/>
    <s v="April"/>
    <s v="Bob Bobson"/>
  </r>
  <r>
    <x v="2"/>
    <x v="2"/>
    <n v="0.32700000000000001"/>
    <n v="20"/>
    <x v="0"/>
    <n v="49.550427999999997"/>
    <n v="11.077659000000001"/>
    <x v="35"/>
    <s v="April"/>
    <s v="Bob Bobson"/>
  </r>
  <r>
    <x v="2"/>
    <x v="2"/>
    <n v="0.255"/>
    <n v="19"/>
    <x v="1"/>
    <n v="49.558869000000001"/>
    <n v="11.076638000000001"/>
    <x v="35"/>
    <s v="April"/>
    <s v="Bob Bobson"/>
  </r>
  <r>
    <x v="3"/>
    <x v="3"/>
    <n v="0.8"/>
    <n v="21"/>
    <x v="1"/>
    <n v="48.412407999999999"/>
    <n v="18.869074000000001"/>
    <x v="35"/>
    <s v="April"/>
    <s v="John Johnson"/>
  </r>
  <r>
    <x v="1"/>
    <x v="4"/>
    <n v="15"/>
    <n v="70"/>
    <x v="0"/>
    <n v="50.883893999999998"/>
    <n v="14.372363999999999"/>
    <x v="35"/>
    <s v="April"/>
    <s v="John Johnson"/>
  </r>
  <r>
    <x v="2"/>
    <x v="3"/>
    <n v="0.3"/>
    <n v="19"/>
    <x v="1"/>
    <n v="48.229837000000003"/>
    <n v="17.089217999999999"/>
    <x v="35"/>
    <s v="April"/>
    <s v="John Johnson"/>
  </r>
  <r>
    <x v="0"/>
    <x v="0"/>
    <n v="589"/>
    <n v="279"/>
    <x v="1"/>
    <n v="52.808703999999999"/>
    <n v="23.705504000000001"/>
    <x v="36"/>
    <s v="April"/>
    <s v="Anne Anthony"/>
  </r>
  <r>
    <x v="3"/>
    <x v="1"/>
    <n v="0.7"/>
    <n v="16"/>
    <x v="1"/>
    <n v="47.510230999999997"/>
    <n v="18.940041999999998"/>
    <x v="36"/>
    <s v="April"/>
    <s v="Anne Anthony"/>
  </r>
  <r>
    <x v="3"/>
    <x v="1"/>
    <n v="0.8"/>
    <n v="14"/>
    <x v="1"/>
    <n v="47.509073000000001"/>
    <n v="18.946838"/>
    <x v="36"/>
    <s v="April"/>
    <s v="Anne Anthony"/>
  </r>
  <r>
    <x v="2"/>
    <x v="0"/>
    <n v="0.34799999999999998"/>
    <n v="23"/>
    <x v="0"/>
    <n v="50.041252"/>
    <n v="19.950033000000001"/>
    <x v="36"/>
    <s v="April"/>
    <s v="Anne Anthony"/>
  </r>
  <r>
    <x v="2"/>
    <x v="5"/>
    <n v="0.29399999999999998"/>
    <n v="22"/>
    <x v="0"/>
    <n v="47.855007000000001"/>
    <n v="15.076539"/>
    <x v="36"/>
    <s v="April"/>
    <s v="Bob Bobson"/>
  </r>
  <r>
    <x v="2"/>
    <x v="2"/>
    <n v="0.29899999999999999"/>
    <n v="19"/>
    <x v="0"/>
    <n v="49.89476007476636"/>
    <n v="11.786535411214958"/>
    <x v="36"/>
    <s v="April"/>
    <s v="Bob Bobson"/>
  </r>
  <r>
    <x v="2"/>
    <x v="2"/>
    <n v="0.314"/>
    <n v="19"/>
    <x v="1"/>
    <n v="49.89476007476636"/>
    <n v="11.786535411214958"/>
    <x v="36"/>
    <s v="April"/>
    <s v="Bob Bobson"/>
  </r>
  <r>
    <x v="2"/>
    <x v="2"/>
    <n v="0.29699999999999999"/>
    <n v="20"/>
    <x v="0"/>
    <n v="49.89476007476636"/>
    <n v="11.786535411214958"/>
    <x v="36"/>
    <s v="April"/>
    <s v="Bob Bobson"/>
  </r>
  <r>
    <x v="2"/>
    <x v="2"/>
    <n v="0.29799999999999999"/>
    <n v="21"/>
    <x v="0"/>
    <n v="49.89476007476636"/>
    <n v="11.786535411214958"/>
    <x v="36"/>
    <s v="April"/>
    <s v="Bob Bobson"/>
  </r>
  <r>
    <x v="2"/>
    <x v="2"/>
    <n v="0.30099999999999999"/>
    <n v="19"/>
    <x v="0"/>
    <n v="49.89476007476636"/>
    <n v="11.786535411214958"/>
    <x v="36"/>
    <s v="April"/>
    <s v="Bob Bobson"/>
  </r>
  <r>
    <x v="2"/>
    <x v="2"/>
    <n v="0.26700000000000002"/>
    <n v="20"/>
    <x v="1"/>
    <n v="49.89476007476636"/>
    <n v="11.786535411214958"/>
    <x v="36"/>
    <s v="April"/>
    <s v="Bob Bobson"/>
  </r>
  <r>
    <x v="2"/>
    <x v="2"/>
    <n v="0.315"/>
    <n v="21"/>
    <x v="0"/>
    <n v="49.89476007476636"/>
    <n v="11.786535411214958"/>
    <x v="36"/>
    <s v="April"/>
    <s v="Bob Bobson"/>
  </r>
  <r>
    <x v="2"/>
    <x v="2"/>
    <n v="0.3"/>
    <n v="21"/>
    <x v="1"/>
    <n v="49.89476007476636"/>
    <n v="11.786535411214958"/>
    <x v="36"/>
    <s v="April"/>
    <s v="Bob Bobson"/>
  </r>
  <r>
    <x v="2"/>
    <x v="2"/>
    <n v="0.3"/>
    <n v="21"/>
    <x v="0"/>
    <n v="49.89476007476636"/>
    <n v="11.786535411214958"/>
    <x v="36"/>
    <s v="April"/>
    <s v="Bob Bobson"/>
  </r>
  <r>
    <x v="2"/>
    <x v="2"/>
    <n v="0.26400000000000001"/>
    <n v="22"/>
    <x v="1"/>
    <n v="49.89476007476636"/>
    <n v="11.786535411214958"/>
    <x v="36"/>
    <s v="April"/>
    <s v="Bob Bobson"/>
  </r>
  <r>
    <x v="2"/>
    <x v="2"/>
    <n v="0.251"/>
    <n v="21"/>
    <x v="0"/>
    <n v="49.89476007476636"/>
    <n v="11.786535411214958"/>
    <x v="36"/>
    <s v="April"/>
    <s v="Bob Bobson"/>
  </r>
  <r>
    <x v="2"/>
    <x v="2"/>
    <n v="0.30199999999999999"/>
    <n v="22"/>
    <x v="1"/>
    <n v="49.89476007476636"/>
    <n v="11.786535411214958"/>
    <x v="36"/>
    <s v="April"/>
    <s v="Bob Bobson"/>
  </r>
  <r>
    <x v="2"/>
    <x v="2"/>
    <n v="0.26200000000000001"/>
    <n v="22"/>
    <x v="1"/>
    <n v="49.89476007476636"/>
    <n v="11.786535411214958"/>
    <x v="36"/>
    <s v="April"/>
    <s v="Bob Bobson"/>
  </r>
  <r>
    <x v="2"/>
    <x v="2"/>
    <n v="0.30099999999999999"/>
    <n v="20"/>
    <x v="0"/>
    <n v="49.89476007476636"/>
    <n v="11.786535411214958"/>
    <x v="36"/>
    <s v="April"/>
    <s v="Bob Bobson"/>
  </r>
  <r>
    <x v="2"/>
    <x v="2"/>
    <n v="0.24299999999999999"/>
    <n v="19"/>
    <x v="0"/>
    <n v="49.89476007476636"/>
    <n v="11.786535411214958"/>
    <x v="36"/>
    <s v="April"/>
    <s v="Bob Bobson"/>
  </r>
  <r>
    <x v="2"/>
    <x v="2"/>
    <n v="0.314"/>
    <n v="20"/>
    <x v="0"/>
    <n v="49.89476007476636"/>
    <n v="11.786535411214958"/>
    <x v="36"/>
    <s v="April"/>
    <s v="Bob Bobson"/>
  </r>
  <r>
    <x v="2"/>
    <x v="2"/>
    <n v="0.24399999999999999"/>
    <n v="20"/>
    <x v="0"/>
    <n v="49.89476007476636"/>
    <n v="11.786535411214958"/>
    <x v="36"/>
    <s v="April"/>
    <s v="Bob Bobson"/>
  </r>
  <r>
    <x v="2"/>
    <x v="2"/>
    <n v="0.25"/>
    <n v="22"/>
    <x v="0"/>
    <n v="49.89476007476636"/>
    <n v="11.786535411214958"/>
    <x v="36"/>
    <s v="April"/>
    <s v="Bob Bobson"/>
  </r>
  <r>
    <x v="2"/>
    <x v="2"/>
    <n v="0.27200000000000002"/>
    <n v="20"/>
    <x v="0"/>
    <n v="49.89476007476636"/>
    <n v="11.786535411214958"/>
    <x v="36"/>
    <s v="April"/>
    <s v="Bob Bobson"/>
  </r>
  <r>
    <x v="2"/>
    <x v="2"/>
    <n v="0.28899999999999998"/>
    <n v="20"/>
    <x v="0"/>
    <n v="49.89476007476636"/>
    <n v="11.786535411214958"/>
    <x v="36"/>
    <s v="April"/>
    <s v="Bob Bobson"/>
  </r>
  <r>
    <x v="2"/>
    <x v="2"/>
    <n v="0.315"/>
    <n v="20"/>
    <x v="0"/>
    <n v="49.89476007476636"/>
    <n v="11.786535411214958"/>
    <x v="36"/>
    <s v="April"/>
    <s v="Bob Bobson"/>
  </r>
  <r>
    <x v="2"/>
    <x v="2"/>
    <n v="0.30399999999999999"/>
    <n v="21"/>
    <x v="0"/>
    <n v="49.89476007476636"/>
    <n v="11.786535411214958"/>
    <x v="36"/>
    <s v="April"/>
    <s v="Bob Bobson"/>
  </r>
  <r>
    <x v="2"/>
    <x v="2"/>
    <n v="0.24099999999999999"/>
    <n v="19"/>
    <x v="0"/>
    <n v="49.89476007476636"/>
    <n v="11.786535411214958"/>
    <x v="36"/>
    <s v="April"/>
    <s v="Bob Bobson"/>
  </r>
  <r>
    <x v="2"/>
    <x v="2"/>
    <n v="0.248"/>
    <n v="22"/>
    <x v="0"/>
    <n v="49.89476007476636"/>
    <n v="11.786535411214958"/>
    <x v="36"/>
    <s v="April"/>
    <s v="Bob Bobson"/>
  </r>
  <r>
    <x v="2"/>
    <x v="2"/>
    <n v="0.28999999999999998"/>
    <n v="21"/>
    <x v="0"/>
    <n v="49.89476007476636"/>
    <n v="11.786535411214958"/>
    <x v="36"/>
    <s v="April"/>
    <s v="Bob Bobson"/>
  </r>
  <r>
    <x v="4"/>
    <x v="5"/>
    <n v="0.31900000000000001"/>
    <n v="20"/>
    <x v="0"/>
    <n v="49.89476007476636"/>
    <n v="11.786535411214958"/>
    <x v="36"/>
    <s v="April"/>
    <s v="Bob Bobson"/>
  </r>
  <r>
    <x v="4"/>
    <x v="5"/>
    <n v="0.29199999999999998"/>
    <n v="19"/>
    <x v="1"/>
    <n v="49.89476007476636"/>
    <n v="11.786535411214958"/>
    <x v="36"/>
    <s v="April"/>
    <s v="Bob Bobson"/>
  </r>
  <r>
    <x v="4"/>
    <x v="5"/>
    <n v="0.31900000000000001"/>
    <n v="19"/>
    <x v="1"/>
    <n v="49.89476007476636"/>
    <n v="11.786535411214958"/>
    <x v="36"/>
    <s v="April"/>
    <s v="Bob Bobson"/>
  </r>
  <r>
    <x v="4"/>
    <x v="5"/>
    <n v="0.29799999999999999"/>
    <n v="20"/>
    <x v="0"/>
    <n v="49.89476007476636"/>
    <n v="11.786535411214958"/>
    <x v="36"/>
    <s v="April"/>
    <s v="Bob Bobson"/>
  </r>
  <r>
    <x v="4"/>
    <x v="5"/>
    <n v="0.255"/>
    <n v="22"/>
    <x v="0"/>
    <n v="49.89476007476636"/>
    <n v="11.786535411214958"/>
    <x v="36"/>
    <s v="April"/>
    <s v="Bob Bobson"/>
  </r>
  <r>
    <x v="4"/>
    <x v="5"/>
    <n v="0.3"/>
    <n v="20"/>
    <x v="0"/>
    <n v="49.89476007476636"/>
    <n v="11.786535411214958"/>
    <x v="36"/>
    <s v="April"/>
    <s v="Bob Bobson"/>
  </r>
  <r>
    <x v="4"/>
    <x v="5"/>
    <n v="0.252"/>
    <n v="21"/>
    <x v="0"/>
    <n v="49.89476007476636"/>
    <n v="11.786535411214958"/>
    <x v="36"/>
    <s v="April"/>
    <s v="Bob Bobson"/>
  </r>
  <r>
    <x v="3"/>
    <x v="3"/>
    <n v="0.8"/>
    <n v="17"/>
    <x v="0"/>
    <n v="48.409644999999998"/>
    <n v="18.872415"/>
    <x v="36"/>
    <s v="April"/>
    <s v="John Johnson"/>
  </r>
  <r>
    <x v="1"/>
    <x v="4"/>
    <n v="26"/>
    <n v="88"/>
    <x v="1"/>
    <n v="50.883881000000002"/>
    <n v="14.373018"/>
    <x v="36"/>
    <s v="April"/>
    <s v="John Johnson"/>
  </r>
  <r>
    <x v="2"/>
    <x v="4"/>
    <n v="0.316"/>
    <n v="23"/>
    <x v="1"/>
    <n v="49.939309999999999"/>
    <n v="14.181266000000001"/>
    <x v="36"/>
    <s v="April"/>
    <s v="John Johnson"/>
  </r>
  <r>
    <x v="2"/>
    <x v="4"/>
    <n v="0.32700000000000001"/>
    <n v="21"/>
    <x v="0"/>
    <n v="49.938616000000003"/>
    <n v="14.181291"/>
    <x v="36"/>
    <s v="April"/>
    <s v="John Johnson"/>
  </r>
  <r>
    <x v="2"/>
    <x v="4"/>
    <n v="0.28799999999999998"/>
    <n v="18"/>
    <x v="0"/>
    <n v="49.937838999999997"/>
    <n v="14.179074999999999"/>
    <x v="36"/>
    <s v="April"/>
    <s v="John Johnson"/>
  </r>
  <r>
    <x v="2"/>
    <x v="4"/>
    <n v="0.313"/>
    <n v="22"/>
    <x v="1"/>
    <n v="49.939307999999997"/>
    <n v="14.180747"/>
    <x v="36"/>
    <s v="April"/>
    <s v="John Johnson"/>
  </r>
  <r>
    <x v="0"/>
    <x v="0"/>
    <n v="1100"/>
    <n v="350"/>
    <x v="0"/>
    <n v="52.803316000000002"/>
    <n v="23.686301"/>
    <x v="37"/>
    <s v="April"/>
    <s v="Anne Anthony"/>
  </r>
  <r>
    <x v="3"/>
    <x v="1"/>
    <n v="0.9"/>
    <n v="16"/>
    <x v="1"/>
    <n v="47.506638000000002"/>
    <n v="18.940090999999999"/>
    <x v="37"/>
    <s v="April"/>
    <s v="Anne Anthony"/>
  </r>
  <r>
    <x v="1"/>
    <x v="0"/>
    <n v="23"/>
    <n v="73"/>
    <x v="0"/>
    <n v="52.823016000000003"/>
    <n v="23.812286"/>
    <x v="37"/>
    <s v="April"/>
    <s v="Anne Anthony"/>
  </r>
  <r>
    <x v="2"/>
    <x v="1"/>
    <n v="0.31900000000000001"/>
    <n v="18"/>
    <x v="0"/>
    <n v="47.508665000000001"/>
    <n v="18.940456000000001"/>
    <x v="37"/>
    <s v="April"/>
    <s v="Anne Anthony"/>
  </r>
  <r>
    <x v="2"/>
    <x v="1"/>
    <n v="0.28000000000000003"/>
    <n v="21"/>
    <x v="1"/>
    <n v="47.510978000000001"/>
    <n v="18.942962999999999"/>
    <x v="37"/>
    <s v="April"/>
    <s v="Anne Anthony"/>
  </r>
  <r>
    <x v="2"/>
    <x v="5"/>
    <n v="0.26400000000000001"/>
    <n v="22"/>
    <x v="1"/>
    <n v="47.857585999999998"/>
    <n v="15.081327999999999"/>
    <x v="37"/>
    <s v="April"/>
    <s v="Bob Bobson"/>
  </r>
  <r>
    <x v="2"/>
    <x v="5"/>
    <n v="0.33400000000000002"/>
    <n v="19"/>
    <x v="0"/>
    <n v="47.856971000000001"/>
    <n v="15.078984"/>
    <x v="37"/>
    <s v="April"/>
    <s v="Bob Bobson"/>
  </r>
  <r>
    <x v="2"/>
    <x v="5"/>
    <n v="0.27800000000000002"/>
    <n v="21"/>
    <x v="0"/>
    <n v="47.856769"/>
    <n v="15.076411"/>
    <x v="37"/>
    <s v="April"/>
    <s v="Bob Bobson"/>
  </r>
  <r>
    <x v="2"/>
    <x v="5"/>
    <n v="0.33300000000000002"/>
    <n v="22"/>
    <x v="1"/>
    <n v="47.855378999999999"/>
    <n v="15.077237"/>
    <x v="37"/>
    <s v="April"/>
    <s v="Bob Bobson"/>
  </r>
  <r>
    <x v="2"/>
    <x v="5"/>
    <n v="0.32300000000000001"/>
    <n v="23"/>
    <x v="0"/>
    <n v="47.856014999999999"/>
    <n v="15.08325"/>
    <x v="37"/>
    <s v="April"/>
    <s v="Bob Bobson"/>
  </r>
  <r>
    <x v="3"/>
    <x v="3"/>
    <n v="1.1000000000000001"/>
    <n v="16"/>
    <x v="1"/>
    <n v="48.413153999999999"/>
    <n v="18.875356"/>
    <x v="37"/>
    <s v="April"/>
    <s v="John Johnson"/>
  </r>
  <r>
    <x v="2"/>
    <x v="0"/>
    <n v="0.26500000000000001"/>
    <n v="22"/>
    <x v="1"/>
    <n v="50.041147000000002"/>
    <n v="19.95046"/>
    <x v="38"/>
    <s v="April"/>
    <s v="Anne Anthony"/>
  </r>
  <r>
    <x v="2"/>
    <x v="5"/>
    <n v="0.27"/>
    <n v="23"/>
    <x v="1"/>
    <n v="47.853881000000001"/>
    <n v="15.078367"/>
    <x v="38"/>
    <s v="April"/>
    <s v="Bob Bobson"/>
  </r>
  <r>
    <x v="2"/>
    <x v="5"/>
    <n v="0.29899999999999999"/>
    <n v="19"/>
    <x v="1"/>
    <n v="47.854855000000001"/>
    <n v="15.082167999999999"/>
    <x v="38"/>
    <s v="April"/>
    <s v="Bob Bobson"/>
  </r>
  <r>
    <x v="2"/>
    <x v="5"/>
    <n v="0.3"/>
    <n v="21"/>
    <x v="0"/>
    <n v="47.855215999999999"/>
    <n v="15.078877"/>
    <x v="38"/>
    <s v="April"/>
    <s v="Bob Bobson"/>
  </r>
  <r>
    <x v="2"/>
    <x v="5"/>
    <n v="0.33800000000000002"/>
    <n v="19"/>
    <x v="0"/>
    <n v="47.857495"/>
    <n v="15.078950000000001"/>
    <x v="38"/>
    <s v="April"/>
    <s v="Bob Bobson"/>
  </r>
  <r>
    <x v="2"/>
    <x v="5"/>
    <n v="0.28499999999999998"/>
    <n v="21"/>
    <x v="1"/>
    <n v="47.853875000000002"/>
    <n v="15.078745"/>
    <x v="38"/>
    <s v="April"/>
    <s v="Bob Bobson"/>
  </r>
  <r>
    <x v="2"/>
    <x v="5"/>
    <n v="0.33300000000000002"/>
    <n v="19"/>
    <x v="1"/>
    <n v="47.854756000000002"/>
    <n v="15.082891999999999"/>
    <x v="38"/>
    <s v="April"/>
    <s v="Bob Bobson"/>
  </r>
  <r>
    <x v="2"/>
    <x v="5"/>
    <n v="0.32300000000000001"/>
    <n v="23"/>
    <x v="0"/>
    <n v="47.854098999999998"/>
    <n v="15.076812"/>
    <x v="38"/>
    <s v="April"/>
    <s v="Bob Bobson"/>
  </r>
  <r>
    <x v="0"/>
    <x v="4"/>
    <n v="560"/>
    <n v="250"/>
    <x v="1"/>
    <n v="50.645077000000001"/>
    <n v="14.840304"/>
    <x v="38"/>
    <s v="April"/>
    <s v="John Johnson"/>
  </r>
  <r>
    <x v="3"/>
    <x v="3"/>
    <n v="1.1000000000000001"/>
    <n v="25"/>
    <x v="0"/>
    <n v="48.412590000000002"/>
    <n v="18.87302"/>
    <x v="38"/>
    <s v="April"/>
    <s v="John Johnson"/>
  </r>
  <r>
    <x v="2"/>
    <x v="3"/>
    <n v="-0.252"/>
    <n v="21"/>
    <x v="0"/>
    <n v="49.057599000000003"/>
    <n v="22.422203"/>
    <x v="38"/>
    <s v="April"/>
    <s v="John Johnson"/>
  </r>
  <r>
    <x v="2"/>
    <x v="3"/>
    <n v="0.26"/>
    <n v="18"/>
    <x v="0"/>
    <n v="49.053175000000003"/>
    <n v="22.414666"/>
    <x v="38"/>
    <s v="April"/>
    <s v="John Johnson"/>
  </r>
  <r>
    <x v="2"/>
    <x v="3"/>
    <n v="0.32900000000000001"/>
    <n v="20"/>
    <x v="0"/>
    <n v="49.054662999999998"/>
    <n v="22.412082000000002"/>
    <x v="38"/>
    <s v="April"/>
    <s v="John Johnson"/>
  </r>
  <r>
    <x v="2"/>
    <x v="3"/>
    <n v="0.33"/>
    <n v="21"/>
    <x v="1"/>
    <n v="49.055275000000002"/>
    <n v="22.414210000000001"/>
    <x v="38"/>
    <s v="April"/>
    <s v="John Johnson"/>
  </r>
  <r>
    <x v="2"/>
    <x v="3"/>
    <n v="0.27100000000000002"/>
    <n v="23"/>
    <x v="0"/>
    <n v="49.052914000000001"/>
    <n v="22.422989999999999"/>
    <x v="38"/>
    <s v="April"/>
    <s v="John Johnson"/>
  </r>
  <r>
    <x v="2"/>
    <x v="3"/>
    <n v="0.29799999999999999"/>
    <n v="18"/>
    <x v="1"/>
    <n v="49.055453"/>
    <n v="22.423535999999999"/>
    <x v="38"/>
    <s v="April"/>
    <s v="John Johnson"/>
  </r>
  <r>
    <x v="2"/>
    <x v="3"/>
    <n v="0.28100000000000003"/>
    <n v="23"/>
    <x v="0"/>
    <n v="49.056583000000003"/>
    <n v="22.415431999999999"/>
    <x v="38"/>
    <s v="April"/>
    <s v="John Johnson"/>
  </r>
  <r>
    <x v="2"/>
    <x v="3"/>
    <n v="0.316"/>
    <n v="22"/>
    <x v="1"/>
    <n v="49.054586"/>
    <n v="22.413679999999999"/>
    <x v="38"/>
    <s v="April"/>
    <s v="John Johnson"/>
  </r>
  <r>
    <x v="2"/>
    <x v="3"/>
    <n v="0.26500000000000001"/>
    <n v="18"/>
    <x v="0"/>
    <n v="49.056946000000003"/>
    <n v="22.424916"/>
    <x v="38"/>
    <s v="April"/>
    <s v="John Johnson"/>
  </r>
  <r>
    <x v="2"/>
    <x v="0"/>
    <n v="0.29599999999999999"/>
    <n v="22"/>
    <x v="0"/>
    <n v="50.041497"/>
    <n v="19.950657"/>
    <x v="39"/>
    <s v="April"/>
    <s v="Anne Anthony"/>
  </r>
  <r>
    <x v="2"/>
    <x v="1"/>
    <n v="0.25700000000000001"/>
    <n v="20"/>
    <x v="1"/>
    <n v="47.509374999999999"/>
    <n v="18.939807999999999"/>
    <x v="39"/>
    <s v="April"/>
    <s v="Anne Anthony"/>
  </r>
  <r>
    <x v="2"/>
    <x v="4"/>
    <n v="0.313"/>
    <n v="21"/>
    <x v="0"/>
    <n v="49.937424999999998"/>
    <n v="14.182722999999999"/>
    <x v="39"/>
    <s v="April"/>
    <s v="John Johnson"/>
  </r>
  <r>
    <x v="2"/>
    <x v="4"/>
    <n v="0.28199999999999997"/>
    <n v="19"/>
    <x v="1"/>
    <n v="49.939072000000003"/>
    <n v="14.180063000000001"/>
    <x v="39"/>
    <s v="April"/>
    <s v="John Johnson"/>
  </r>
  <r>
    <x v="0"/>
    <x v="0"/>
    <n v="486"/>
    <n v="235"/>
    <x v="1"/>
    <n v="52.809086000000001"/>
    <n v="23.696425000000001"/>
    <x v="40"/>
    <s v="April"/>
    <s v="Anne Anthony"/>
  </r>
  <r>
    <x v="1"/>
    <x v="0"/>
    <n v="22"/>
    <n v="78"/>
    <x v="0"/>
    <n v="52.821624999999997"/>
    <n v="23.818062999999999"/>
    <x v="40"/>
    <s v="April"/>
    <s v="Anne Anthony"/>
  </r>
  <r>
    <x v="3"/>
    <x v="3"/>
    <n v="1.2"/>
    <n v="26"/>
    <x v="0"/>
    <n v="48.409469000000001"/>
    <n v="18.861715"/>
    <x v="40"/>
    <s v="April"/>
    <s v="John Johnson"/>
  </r>
  <r>
    <x v="2"/>
    <x v="4"/>
    <n v="0.25700000000000001"/>
    <n v="21"/>
    <x v="0"/>
    <n v="50.107146999999998"/>
    <n v="14.347009"/>
    <x v="40"/>
    <s v="April"/>
    <s v="John Johnson"/>
  </r>
  <r>
    <x v="0"/>
    <x v="0"/>
    <n v="610"/>
    <n v="281"/>
    <x v="1"/>
    <n v="52.810988999999999"/>
    <n v="23.689136999999999"/>
    <x v="41"/>
    <s v="April"/>
    <s v="Anne Anthony"/>
  </r>
  <r>
    <x v="3"/>
    <x v="1"/>
    <n v="0.8"/>
    <n v="17"/>
    <x v="1"/>
    <n v="47.507080999999999"/>
    <n v="18.939062"/>
    <x v="41"/>
    <s v="April"/>
    <s v="Anne Anthony"/>
  </r>
  <r>
    <x v="2"/>
    <x v="0"/>
    <n v="0.32500000000000001"/>
    <n v="20"/>
    <x v="1"/>
    <n v="50.041347000000002"/>
    <n v="19.950773000000002"/>
    <x v="41"/>
    <s v="April"/>
    <s v="Anne Anthony"/>
  </r>
  <r>
    <x v="2"/>
    <x v="1"/>
    <n v="0.27500000000000002"/>
    <n v="21"/>
    <x v="1"/>
    <n v="47.506070999999999"/>
    <n v="18.949311000000002"/>
    <x v="41"/>
    <s v="April"/>
    <s v="Anne Anthony"/>
  </r>
  <r>
    <x v="2"/>
    <x v="1"/>
    <n v="0.28499999999999998"/>
    <n v="20"/>
    <x v="0"/>
    <n v="47.509655000000002"/>
    <n v="18.943576"/>
    <x v="41"/>
    <s v="April"/>
    <s v="Anne Anthony"/>
  </r>
  <r>
    <x v="2"/>
    <x v="6"/>
    <n v="0.31"/>
    <n v="23"/>
    <x v="0"/>
    <n v="47.856091999999997"/>
    <n v="15.083546999999999"/>
    <x v="41"/>
    <s v="April"/>
    <s v="Bob Bobson"/>
  </r>
  <r>
    <x v="2"/>
    <x v="5"/>
    <n v="0.25600000000000001"/>
    <n v="19"/>
    <x v="0"/>
    <n v="47.854875999999997"/>
    <n v="15.08295"/>
    <x v="41"/>
    <s v="April"/>
    <s v="Bob Bobson"/>
  </r>
  <r>
    <x v="2"/>
    <x v="5"/>
    <n v="0.28499999999999998"/>
    <n v="23"/>
    <x v="0"/>
    <n v="47.857534999999999"/>
    <n v="15.078082999999999"/>
    <x v="41"/>
    <s v="April"/>
    <s v="Bob Bobson"/>
  </r>
  <r>
    <x v="2"/>
    <x v="2"/>
    <n v="0.30299999999999999"/>
    <n v="19"/>
    <x v="1"/>
    <n v="48.162436999999997"/>
    <n v="11.494298000000001"/>
    <x v="41"/>
    <s v="April"/>
    <s v="Bob Bobson"/>
  </r>
  <r>
    <x v="2"/>
    <x v="2"/>
    <n v="0.27300000000000002"/>
    <n v="19"/>
    <x v="0"/>
    <n v="48.161105999999997"/>
    <n v="11.48991"/>
    <x v="41"/>
    <s v="April"/>
    <s v="Bob Bobson"/>
  </r>
  <r>
    <x v="2"/>
    <x v="2"/>
    <n v="0.26700000000000002"/>
    <n v="22"/>
    <x v="1"/>
    <n v="48.161385000000003"/>
    <n v="11.492571"/>
    <x v="41"/>
    <s v="April"/>
    <s v="Bob Bobson"/>
  </r>
  <r>
    <x v="2"/>
    <x v="2"/>
    <n v="0.25800000000000001"/>
    <n v="20"/>
    <x v="1"/>
    <n v="48.162137000000001"/>
    <n v="11.494415"/>
    <x v="41"/>
    <s v="April"/>
    <s v="Bob Bobson"/>
  </r>
  <r>
    <x v="2"/>
    <x v="2"/>
    <n v="0.29599999999999999"/>
    <n v="18"/>
    <x v="0"/>
    <n v="48.162162000000002"/>
    <n v="11.493917"/>
    <x v="41"/>
    <s v="April"/>
    <s v="Bob Bobson"/>
  </r>
  <r>
    <x v="1"/>
    <x v="3"/>
    <n v="22"/>
    <n v="88"/>
    <x v="0"/>
    <n v="48.408549999999998"/>
    <n v="18.864934999999999"/>
    <x v="41"/>
    <s v="April"/>
    <s v="John Johnson"/>
  </r>
  <r>
    <x v="2"/>
    <x v="4"/>
    <n v="0.308"/>
    <n v="22"/>
    <x v="1"/>
    <n v="50.106721"/>
    <n v="14.346231"/>
    <x v="41"/>
    <s v="April"/>
    <s v="John Johnson"/>
  </r>
  <r>
    <x v="0"/>
    <x v="0"/>
    <n v="853"/>
    <n v="287"/>
    <x v="0"/>
    <n v="52.803559999999997"/>
    <n v="23.690377999999999"/>
    <x v="42"/>
    <s v="April"/>
    <s v="Anne Anthony"/>
  </r>
  <r>
    <x v="2"/>
    <x v="2"/>
    <n v="0.30199999999999999"/>
    <n v="18"/>
    <x v="1"/>
    <n v="48.160992"/>
    <n v="11.495374"/>
    <x v="42"/>
    <s v="April"/>
    <s v="Bob Bobson"/>
  </r>
  <r>
    <x v="3"/>
    <x v="3"/>
    <n v="1"/>
    <n v="20"/>
    <x v="1"/>
    <n v="48.408712999999999"/>
    <n v="18.863828999999999"/>
    <x v="42"/>
    <s v="April"/>
    <s v="John Johnson"/>
  </r>
  <r>
    <x v="2"/>
    <x v="4"/>
    <n v="0.32500000000000001"/>
    <n v="21"/>
    <x v="1"/>
    <n v="50.106482999999997"/>
    <n v="14.348191999999999"/>
    <x v="42"/>
    <s v="April"/>
    <s v="John Johnson"/>
  </r>
  <r>
    <x v="3"/>
    <x v="1"/>
    <n v="1.2"/>
    <n v="23"/>
    <x v="0"/>
    <n v="47.511266999999997"/>
    <n v="18.940190999999999"/>
    <x v="43"/>
    <s v="April"/>
    <s v="Anne Anthony"/>
  </r>
  <r>
    <x v="2"/>
    <x v="0"/>
    <n v="0.26400000000000001"/>
    <n v="20"/>
    <x v="0"/>
    <n v="50.041365999999996"/>
    <n v="19.949936000000001"/>
    <x v="43"/>
    <s v="April"/>
    <s v="Anne Anthony"/>
  </r>
  <r>
    <x v="2"/>
    <x v="0"/>
    <n v="0.32800000000000001"/>
    <n v="20"/>
    <x v="0"/>
    <n v="50.041573"/>
    <n v="19.949850000000001"/>
    <x v="43"/>
    <s v="April"/>
    <s v="Anne Anthony"/>
  </r>
  <r>
    <x v="2"/>
    <x v="0"/>
    <n v="0.32"/>
    <n v="23"/>
    <x v="1"/>
    <n v="50.041553999999998"/>
    <n v="19.951129999999999"/>
    <x v="43"/>
    <s v="April"/>
    <s v="Anne Anthony"/>
  </r>
  <r>
    <x v="2"/>
    <x v="0"/>
    <n v="0.29799999999999999"/>
    <n v="23"/>
    <x v="0"/>
    <n v="52.211967000000001"/>
    <n v="21.032924000000001"/>
    <x v="43"/>
    <s v="April"/>
    <s v="Anne Anthony"/>
  </r>
  <r>
    <x v="3"/>
    <x v="3"/>
    <n v="0.8"/>
    <n v="23"/>
    <x v="0"/>
    <n v="48.412843000000002"/>
    <n v="18.872613999999999"/>
    <x v="43"/>
    <s v="April"/>
    <s v="John Johnson"/>
  </r>
  <r>
    <x v="3"/>
    <x v="3"/>
    <n v="0.8"/>
    <n v="16"/>
    <x v="0"/>
    <n v="48.407138000000003"/>
    <n v="18.867246999999999"/>
    <x v="43"/>
    <s v="April"/>
    <s v="John Johnson"/>
  </r>
  <r>
    <x v="3"/>
    <x v="1"/>
    <n v="0.4"/>
    <n v="17"/>
    <x v="1"/>
    <n v="47.509261000000002"/>
    <n v="18.949967000000001"/>
    <x v="44"/>
    <s v="April"/>
    <s v="Anne Anthony"/>
  </r>
  <r>
    <x v="1"/>
    <x v="0"/>
    <n v="20"/>
    <n v="90"/>
    <x v="1"/>
    <n v="52.824607999999998"/>
    <n v="23.817395999999999"/>
    <x v="44"/>
    <s v="April"/>
    <s v="Anne Anthony"/>
  </r>
  <r>
    <x v="2"/>
    <x v="1"/>
    <n v="0.29699999999999999"/>
    <n v="18"/>
    <x v="0"/>
    <n v="47.506306000000002"/>
    <n v="18.946099"/>
    <x v="44"/>
    <s v="April"/>
    <s v="Anne Anthony"/>
  </r>
  <r>
    <x v="2"/>
    <x v="1"/>
    <n v="0.308"/>
    <n v="20"/>
    <x v="1"/>
    <n v="47.510067999999997"/>
    <n v="18.947175999999999"/>
    <x v="44"/>
    <s v="April"/>
    <s v="Anne Anthony"/>
  </r>
  <r>
    <x v="2"/>
    <x v="1"/>
    <n v="0.26800000000000002"/>
    <n v="19"/>
    <x v="0"/>
    <n v="47.511060000000001"/>
    <n v="18.939831999999999"/>
    <x v="44"/>
    <s v="April"/>
    <s v="Anne Anthony"/>
  </r>
  <r>
    <x v="2"/>
    <x v="2"/>
    <n v="0.25900000000000001"/>
    <n v="22"/>
    <x v="0"/>
    <n v="48.160831000000002"/>
    <n v="11.492402999999999"/>
    <x v="44"/>
    <s v="April"/>
    <s v="Bob Bobson"/>
  </r>
  <r>
    <x v="0"/>
    <x v="0"/>
    <n v="700"/>
    <n v="286"/>
    <x v="0"/>
    <n v="52.808503000000002"/>
    <n v="23.699369999999998"/>
    <x v="45"/>
    <s v="April"/>
    <s v="Anne Anthony"/>
  </r>
  <r>
    <x v="3"/>
    <x v="1"/>
    <n v="0.7"/>
    <n v="15"/>
    <x v="0"/>
    <n v="47.511426999999998"/>
    <n v="18.948713999999999"/>
    <x v="45"/>
    <s v="April"/>
    <s v="Anne Anthony"/>
  </r>
  <r>
    <x v="2"/>
    <x v="0"/>
    <n v="0.27800000000000002"/>
    <n v="21"/>
    <x v="1"/>
    <n v="52.211888000000002"/>
    <n v="21.032350000000001"/>
    <x v="45"/>
    <s v="April"/>
    <s v="Anne Anthony"/>
  </r>
  <r>
    <x v="2"/>
    <x v="2"/>
    <n v="0.33900000000000002"/>
    <n v="19"/>
    <x v="1"/>
    <n v="48.161422000000002"/>
    <n v="11.491813"/>
    <x v="45"/>
    <s v="April"/>
    <s v="Bob Bobson"/>
  </r>
  <r>
    <x v="2"/>
    <x v="2"/>
    <n v="0.307"/>
    <n v="22"/>
    <x v="0"/>
    <n v="48.160789999999999"/>
    <n v="11.489549"/>
    <x v="45"/>
    <s v="April"/>
    <s v="Bob Bobson"/>
  </r>
  <r>
    <x v="2"/>
    <x v="2"/>
    <n v="0.25600000000000001"/>
    <n v="20"/>
    <x v="1"/>
    <n v="48.161009"/>
    <n v="11.491557"/>
    <x v="45"/>
    <s v="April"/>
    <s v="Bob Bobson"/>
  </r>
  <r>
    <x v="2"/>
    <x v="2"/>
    <n v="0.28999999999999998"/>
    <n v="20"/>
    <x v="0"/>
    <n v="48.160806999999998"/>
    <n v="11.494218999999999"/>
    <x v="45"/>
    <s v="April"/>
    <s v="Bob Bobson"/>
  </r>
  <r>
    <x v="2"/>
    <x v="2"/>
    <n v="0.32300000000000001"/>
    <n v="18"/>
    <x v="1"/>
    <n v="48.161794"/>
    <n v="11.494325"/>
    <x v="45"/>
    <s v="April"/>
    <s v="Bob Bobson"/>
  </r>
  <r>
    <x v="2"/>
    <x v="2"/>
    <n v="0.29299999999999998"/>
    <n v="21"/>
    <x v="0"/>
    <n v="48.161068999999998"/>
    <n v="11.493029999999999"/>
    <x v="45"/>
    <s v="April"/>
    <s v="Bob Bobson"/>
  </r>
  <r>
    <x v="2"/>
    <x v="2"/>
    <n v="0.32600000000000001"/>
    <n v="18"/>
    <x v="1"/>
    <n v="48.160870000000003"/>
    <n v="11.490270000000001"/>
    <x v="45"/>
    <s v="April"/>
    <s v="Bob Bobson"/>
  </r>
  <r>
    <x v="2"/>
    <x v="2"/>
    <n v="0.26600000000000001"/>
    <n v="21"/>
    <x v="1"/>
    <n v="48.160559999999997"/>
    <n v="11.490805999999999"/>
    <x v="45"/>
    <s v="April"/>
    <s v="Bob Bobson"/>
  </r>
  <r>
    <x v="3"/>
    <x v="3"/>
    <n v="0.5"/>
    <n v="18"/>
    <x v="1"/>
    <n v="48.409908999999999"/>
    <n v="18.867006"/>
    <x v="45"/>
    <s v="April"/>
    <s v="John Johnson"/>
  </r>
  <r>
    <x v="2"/>
    <x v="4"/>
    <n v="0.317"/>
    <n v="19"/>
    <x v="0"/>
    <n v="50.106372999999998"/>
    <n v="14.347574"/>
    <x v="45"/>
    <s v="April"/>
    <s v="John Johnson"/>
  </r>
  <r>
    <x v="3"/>
    <x v="1"/>
    <n v="0.5"/>
    <n v="19"/>
    <x v="1"/>
    <n v="47.506430000000002"/>
    <n v="18.947911999999999"/>
    <x v="46"/>
    <s v="April"/>
    <s v="Anne Anthony"/>
  </r>
  <r>
    <x v="3"/>
    <x v="1"/>
    <n v="0.6"/>
    <n v="15"/>
    <x v="0"/>
    <n v="47.506663000000003"/>
    <n v="18.94032"/>
    <x v="46"/>
    <s v="April"/>
    <s v="Anne Anthony"/>
  </r>
  <r>
    <x v="2"/>
    <x v="1"/>
    <n v="0.254"/>
    <n v="20"/>
    <x v="1"/>
    <n v="47.508169000000002"/>
    <n v="18.947417999999999"/>
    <x v="46"/>
    <s v="April"/>
    <s v="Anne Anthony"/>
  </r>
  <r>
    <x v="2"/>
    <x v="2"/>
    <n v="0.313"/>
    <n v="19"/>
    <x v="0"/>
    <n v="48.161901999999998"/>
    <n v="11.494579999999999"/>
    <x v="46"/>
    <s v="April"/>
    <s v="Bob Bobson"/>
  </r>
  <r>
    <x v="2"/>
    <x v="2"/>
    <n v="0.2"/>
    <n v="14"/>
    <x v="0"/>
    <n v="49.554765000000003"/>
    <n v="11.0922"/>
    <x v="46"/>
    <s v="April"/>
    <s v="Bob Bobson"/>
  </r>
  <r>
    <x v="2"/>
    <x v="2"/>
    <n v="0.27800000000000002"/>
    <n v="18"/>
    <x v="1"/>
    <n v="49.558466000000003"/>
    <n v="11.096048"/>
    <x v="46"/>
    <s v="April"/>
    <s v="Bob Bobson"/>
  </r>
  <r>
    <x v="3"/>
    <x v="3"/>
    <n v="0.6"/>
    <n v="25"/>
    <x v="0"/>
    <n v="48.407604999999997"/>
    <n v="18.876341"/>
    <x v="46"/>
    <s v="April"/>
    <s v="John Johnson"/>
  </r>
  <r>
    <x v="2"/>
    <x v="0"/>
    <n v="0.29799999999999999"/>
    <n v="19"/>
    <x v="1"/>
    <n v="52.212378999999999"/>
    <n v="21.032913000000001"/>
    <x v="47"/>
    <s v="April"/>
    <s v="Anne Anthony"/>
  </r>
  <r>
    <x v="3"/>
    <x v="2"/>
    <n v="0.7"/>
    <n v="21"/>
    <x v="0"/>
    <n v="49.556052000000001"/>
    <n v="11.081500999999999"/>
    <x v="47"/>
    <s v="April"/>
    <s v="Bob Bobson"/>
  </r>
  <r>
    <x v="3"/>
    <x v="2"/>
    <n v="1.2"/>
    <n v="28"/>
    <x v="0"/>
    <n v="49.551519999999996"/>
    <n v="11.079537"/>
    <x v="47"/>
    <s v="April"/>
    <s v="Bob Bobson"/>
  </r>
  <r>
    <x v="3"/>
    <x v="2"/>
    <n v="0.5"/>
    <n v="18"/>
    <x v="1"/>
    <n v="49.553736999999998"/>
    <n v="11.087705"/>
    <x v="47"/>
    <s v="April"/>
    <s v="Bob Bobson"/>
  </r>
  <r>
    <x v="3"/>
    <x v="2"/>
    <n v="1"/>
    <n v="20"/>
    <x v="0"/>
    <n v="49.560442000000002"/>
    <n v="11.098395"/>
    <x v="47"/>
    <s v="April"/>
    <s v="Bob Bobson"/>
  </r>
  <r>
    <x v="3"/>
    <x v="2"/>
    <n v="0.9"/>
    <n v="25"/>
    <x v="0"/>
    <n v="49.560723000000003"/>
    <n v="11.084667"/>
    <x v="47"/>
    <s v="April"/>
    <s v="Bob Bobson"/>
  </r>
  <r>
    <x v="3"/>
    <x v="2"/>
    <n v="0.4"/>
    <n v="16"/>
    <x v="1"/>
    <n v="49.558790000000002"/>
    <n v="11.081218"/>
    <x v="47"/>
    <s v="April"/>
    <s v="Bob Bobson"/>
  </r>
  <r>
    <x v="2"/>
    <x v="2"/>
    <n v="0.29399999999999998"/>
    <n v="20"/>
    <x v="0"/>
    <n v="49.545856999999998"/>
    <n v="11.076254"/>
    <x v="47"/>
    <s v="April"/>
    <s v="Bob Bobson"/>
  </r>
  <r>
    <x v="2"/>
    <x v="2"/>
    <n v="0.3"/>
    <n v="23"/>
    <x v="1"/>
    <n v="49.554684999999999"/>
    <n v="11.083449999999999"/>
    <x v="47"/>
    <s v="April"/>
    <s v="Bob Bobson"/>
  </r>
  <r>
    <x v="3"/>
    <x v="3"/>
    <n v="1.1000000000000001"/>
    <n v="23"/>
    <x v="0"/>
    <n v="48.186112000000001"/>
    <n v="17.090491"/>
    <x v="47"/>
    <s v="April"/>
    <s v="John Johnson"/>
  </r>
  <r>
    <x v="1"/>
    <x v="3"/>
    <n v="27"/>
    <n v="100"/>
    <x v="0"/>
    <n v="48.411116999999997"/>
    <n v="18.862265000000001"/>
    <x v="47"/>
    <s v="April"/>
    <s v="John Johnson"/>
  </r>
  <r>
    <x v="2"/>
    <x v="4"/>
    <n v="0.28299999999999997"/>
    <n v="22"/>
    <x v="1"/>
    <n v="50.106413000000003"/>
    <n v="14.348204000000001"/>
    <x v="47"/>
    <s v="April"/>
    <s v="John Johnson"/>
  </r>
  <r>
    <x v="2"/>
    <x v="4"/>
    <n v="0.28000000000000003"/>
    <n v="22"/>
    <x v="1"/>
    <n v="50.107135"/>
    <n v="14.348205999999999"/>
    <x v="47"/>
    <s v="April"/>
    <s v="John Johnson"/>
  </r>
  <r>
    <x v="0"/>
    <x v="0"/>
    <n v="405"/>
    <n v="220"/>
    <x v="1"/>
    <n v="52.804031000000002"/>
    <n v="23.683032000000001"/>
    <x v="48"/>
    <s v="April"/>
    <s v="Anne Anthony"/>
  </r>
  <r>
    <x v="3"/>
    <x v="2"/>
    <n v="1"/>
    <n v="24"/>
    <x v="0"/>
    <n v="49.561056999999998"/>
    <n v="11.084334"/>
    <x v="48"/>
    <s v="April"/>
    <s v="Bob Bobson"/>
  </r>
  <r>
    <x v="3"/>
    <x v="2"/>
    <n v="0.6"/>
    <n v="11"/>
    <x v="0"/>
    <n v="49.557054999999998"/>
    <n v="11.101996"/>
    <x v="48"/>
    <s v="April"/>
    <s v="Bob Bobson"/>
  </r>
  <r>
    <x v="3"/>
    <x v="2"/>
    <n v="0.7"/>
    <n v="25"/>
    <x v="0"/>
    <n v="49.554133"/>
    <n v="11.089674"/>
    <x v="48"/>
    <s v="April"/>
    <s v="Bob Bobson"/>
  </r>
  <r>
    <x v="3"/>
    <x v="2"/>
    <n v="0.6"/>
    <n v="22"/>
    <x v="1"/>
    <n v="49.561174000000001"/>
    <n v="11.102216"/>
    <x v="48"/>
    <s v="April"/>
    <s v="Bob Bobson"/>
  </r>
  <r>
    <x v="3"/>
    <x v="2"/>
    <n v="0.5"/>
    <n v="20"/>
    <x v="0"/>
    <n v="49.563085000000001"/>
    <n v="11.101392000000001"/>
    <x v="48"/>
    <s v="April"/>
    <s v="Bob Bobson"/>
  </r>
  <r>
    <x v="3"/>
    <x v="2"/>
    <n v="0.9"/>
    <n v="25"/>
    <x v="0"/>
    <n v="49.551318000000002"/>
    <n v="11.085475000000001"/>
    <x v="48"/>
    <s v="April"/>
    <s v="Bob Bobson"/>
  </r>
  <r>
    <x v="3"/>
    <x v="2"/>
    <n v="0.5"/>
    <n v="16"/>
    <x v="1"/>
    <n v="49.556237000000003"/>
    <n v="11.088639000000001"/>
    <x v="48"/>
    <s v="April"/>
    <s v="Bob Bobson"/>
  </r>
  <r>
    <x v="3"/>
    <x v="2"/>
    <n v="0.8"/>
    <n v="17"/>
    <x v="0"/>
    <n v="49.545768000000002"/>
    <n v="11.086385999999999"/>
    <x v="48"/>
    <s v="April"/>
    <s v="Bob Bobson"/>
  </r>
  <r>
    <x v="2"/>
    <x v="4"/>
    <n v="0.32600000000000001"/>
    <n v="23"/>
    <x v="0"/>
    <n v="50.107312999999998"/>
    <n v="14.348552"/>
    <x v="48"/>
    <s v="April"/>
    <s v="John Johnson"/>
  </r>
  <r>
    <x v="0"/>
    <x v="0"/>
    <n v="662"/>
    <n v="244"/>
    <x v="1"/>
    <n v="52.809106"/>
    <n v="23.680095000000001"/>
    <x v="49"/>
    <s v="April"/>
    <s v="Anne Anthony"/>
  </r>
  <r>
    <x v="2"/>
    <x v="0"/>
    <n v="0.34100000000000003"/>
    <n v="23"/>
    <x v="0"/>
    <n v="52.212041999999997"/>
    <n v="21.033491999999999"/>
    <x v="49"/>
    <s v="April"/>
    <s v="Anne Anthony"/>
  </r>
  <r>
    <x v="3"/>
    <x v="5"/>
    <n v="0.6"/>
    <n v="17"/>
    <x v="1"/>
    <n v="47.319578999999997"/>
    <n v="11.186061"/>
    <x v="49"/>
    <s v="April"/>
    <s v="Bob Bobson"/>
  </r>
  <r>
    <x v="3"/>
    <x v="5"/>
    <n v="0.9"/>
    <n v="25"/>
    <x v="0"/>
    <n v="47.317974"/>
    <n v="11.187472"/>
    <x v="49"/>
    <s v="April"/>
    <s v="Bob Bobson"/>
  </r>
  <r>
    <x v="3"/>
    <x v="5"/>
    <n v="1.1000000000000001"/>
    <n v="22"/>
    <x v="0"/>
    <n v="47.316561999999998"/>
    <n v="11.19116"/>
    <x v="49"/>
    <s v="April"/>
    <s v="Bob Bobson"/>
  </r>
  <r>
    <x v="3"/>
    <x v="5"/>
    <n v="1.2"/>
    <n v="24"/>
    <x v="0"/>
    <n v="47.318190999999999"/>
    <n v="11.189484"/>
    <x v="49"/>
    <s v="April"/>
    <s v="Bob Bobson"/>
  </r>
  <r>
    <x v="0"/>
    <x v="4"/>
    <n v="656"/>
    <n v="245"/>
    <x v="1"/>
    <n v="50.643056000000001"/>
    <n v="14.843037000000001"/>
    <x v="49"/>
    <s v="April"/>
    <s v="John Johnson"/>
  </r>
  <r>
    <x v="3"/>
    <x v="3"/>
    <n v="1.1000000000000001"/>
    <n v="19"/>
    <x v="1"/>
    <n v="48.187522000000001"/>
    <n v="17.087250999999998"/>
    <x v="49"/>
    <s v="April"/>
    <s v="John Johnson"/>
  </r>
  <r>
    <x v="3"/>
    <x v="3"/>
    <n v="1.1000000000000001"/>
    <n v="29"/>
    <x v="0"/>
    <n v="48.185406"/>
    <n v="17.084534999999999"/>
    <x v="49"/>
    <s v="April"/>
    <s v="John Johnson"/>
  </r>
  <r>
    <x v="1"/>
    <x v="4"/>
    <n v="12"/>
    <n v="52"/>
    <x v="0"/>
    <n v="-78.582971999999998"/>
    <n v="14.367993"/>
    <x v="49"/>
    <s v="April"/>
    <s v="John Johnson"/>
  </r>
  <r>
    <x v="1"/>
    <x v="3"/>
    <n v="24"/>
    <n v="81"/>
    <x v="1"/>
    <n v="48.408549000000001"/>
    <n v="18.87396"/>
    <x v="49"/>
    <s v="April"/>
    <s v="John Johnson"/>
  </r>
  <r>
    <x v="1"/>
    <x v="4"/>
    <n v="22"/>
    <n v="83"/>
    <x v="1"/>
    <n v="50.882924000000003"/>
    <n v="14.368207"/>
    <x v="49"/>
    <s v="April"/>
    <s v="John Johnson"/>
  </r>
  <r>
    <x v="2"/>
    <x v="0"/>
    <n v="0.32700000000000001"/>
    <n v="23"/>
    <x v="0"/>
    <n v="52.212167999999998"/>
    <n v="21.032304"/>
    <x v="50"/>
    <s v="April"/>
    <s v="Anne Anthony"/>
  </r>
  <r>
    <x v="2"/>
    <x v="0"/>
    <n v="0.33700000000000002"/>
    <n v="24"/>
    <x v="1"/>
    <n v="52.211796999999997"/>
    <n v="21.033750000000001"/>
    <x v="50"/>
    <s v="April"/>
    <s v="Anne Anthony"/>
  </r>
  <r>
    <x v="2"/>
    <x v="0"/>
    <n v="0.318"/>
    <n v="24"/>
    <x v="0"/>
    <n v="52.212470000000003"/>
    <n v="21.033642"/>
    <x v="50"/>
    <s v="April"/>
    <s v="Anne Anthony"/>
  </r>
  <r>
    <x v="2"/>
    <x v="0"/>
    <n v="0.33"/>
    <n v="23"/>
    <x v="0"/>
    <n v="52.211872"/>
    <n v="21.032295999999999"/>
    <x v="50"/>
    <s v="April"/>
    <s v="Anne Anthony"/>
  </r>
  <r>
    <x v="0"/>
    <x v="0"/>
    <n v="776"/>
    <n v="294"/>
    <x v="0"/>
    <n v="52.805298999999998"/>
    <n v="23.701093"/>
    <x v="51"/>
    <s v="April"/>
    <s v="Anne Anthony"/>
  </r>
  <r>
    <x v="3"/>
    <x v="3"/>
    <n v="0.8"/>
    <n v="18"/>
    <x v="0"/>
    <n v="48.186208000000001"/>
    <n v="17.089749000000001"/>
    <x v="51"/>
    <s v="April"/>
    <s v="John Johnson"/>
  </r>
  <r>
    <x v="2"/>
    <x v="0"/>
    <n v="0.30599999999999999"/>
    <n v="19"/>
    <x v="1"/>
    <n v="52.212605000000003"/>
    <n v="21.033877"/>
    <x v="52"/>
    <s v="April"/>
    <s v="Anne Anthony"/>
  </r>
  <r>
    <x v="2"/>
    <x v="0"/>
    <n v="0.34899999999999998"/>
    <n v="20"/>
    <x v="1"/>
    <n v="52.212001000000001"/>
    <n v="21.033902999999999"/>
    <x v="52"/>
    <s v="April"/>
    <s v="Anne Anthony"/>
  </r>
  <r>
    <x v="1"/>
    <x v="4"/>
    <n v="23"/>
    <n v="78"/>
    <x v="0"/>
    <n v="-78.582972999999996"/>
    <n v="14.366823999999999"/>
    <x v="52"/>
    <s v="April"/>
    <s v="John Johnson"/>
  </r>
  <r>
    <x v="3"/>
    <x v="3"/>
    <n v="0.7"/>
    <n v="16"/>
    <x v="0"/>
    <n v="48.184230999999997"/>
    <n v="17.091694"/>
    <x v="53"/>
    <s v="April"/>
    <s v="John Johnson"/>
  </r>
  <r>
    <x v="0"/>
    <x v="0"/>
    <n v="650"/>
    <n v="286"/>
    <x v="1"/>
    <n v="52.812486"/>
    <n v="23.686230999999999"/>
    <x v="54"/>
    <s v="April"/>
    <s v="Anne Anthony"/>
  </r>
  <r>
    <x v="2"/>
    <x v="0"/>
    <n v="0.27100000000000002"/>
    <n v="19"/>
    <x v="1"/>
    <n v="52.211796999999997"/>
    <n v="21.032857"/>
    <x v="54"/>
    <s v="April"/>
    <s v="Anne Anthony"/>
  </r>
  <r>
    <x v="2"/>
    <x v="0"/>
    <n v="0.32900000000000001"/>
    <n v="24"/>
    <x v="1"/>
    <n v="52.212045000000003"/>
    <n v="21.031986"/>
    <x v="54"/>
    <s v="April"/>
    <s v="Anne Anthony"/>
  </r>
  <r>
    <x v="1"/>
    <x v="5"/>
    <n v="20"/>
    <n v="90"/>
    <x v="0"/>
    <n v="47.781188"/>
    <n v="14.385356"/>
    <x v="54"/>
    <s v="April"/>
    <s v="Bob Bobson"/>
  </r>
  <r>
    <x v="1"/>
    <x v="5"/>
    <n v="26"/>
    <n v="91"/>
    <x v="1"/>
    <n v="47.780999000000001"/>
    <n v="14.38212"/>
    <x v="54"/>
    <s v="April"/>
    <s v="Bob Bobson"/>
  </r>
  <r>
    <x v="3"/>
    <x v="3"/>
    <n v="0.6"/>
    <n v="15"/>
    <x v="1"/>
    <n v="48.185648"/>
    <n v="17.083763000000001"/>
    <x v="54"/>
    <s v="April"/>
    <s v="John Johnson"/>
  </r>
  <r>
    <x v="1"/>
    <x v="0"/>
    <n v="14"/>
    <n v="65"/>
    <x v="1"/>
    <n v="52.851841"/>
    <n v="23.891580000000001"/>
    <x v="55"/>
    <s v="April"/>
    <s v="Anne Anthony"/>
  </r>
  <r>
    <x v="2"/>
    <x v="0"/>
    <n v="0.311"/>
    <n v="21"/>
    <x v="0"/>
    <n v="52.212203000000002"/>
    <n v="21.032278999999999"/>
    <x v="55"/>
    <s v="April"/>
    <s v="Anne Anthony"/>
  </r>
  <r>
    <x v="3"/>
    <x v="3"/>
    <n v="0.7"/>
    <n v="16"/>
    <x v="0"/>
    <n v="48.185433000000003"/>
    <n v="17.086216"/>
    <x v="56"/>
    <s v="April"/>
    <s v="John Johnson"/>
  </r>
  <r>
    <x v="2"/>
    <x v="0"/>
    <n v="0.28999999999999998"/>
    <n v="24"/>
    <x v="1"/>
    <n v="52.212763000000002"/>
    <n v="21.032786000000002"/>
    <x v="57"/>
    <s v="April"/>
    <s v="Anne Anthony"/>
  </r>
  <r>
    <x v="3"/>
    <x v="3"/>
    <n v="1.2"/>
    <n v="22"/>
    <x v="0"/>
    <n v="48.186912999999997"/>
    <n v="17.088173999999999"/>
    <x v="57"/>
    <s v="April"/>
    <s v="John Johnson"/>
  </r>
  <r>
    <x v="3"/>
    <x v="3"/>
    <n v="0.7"/>
    <n v="24"/>
    <x v="1"/>
    <n v="48.185648999999998"/>
    <n v="17.088833999999999"/>
    <x v="57"/>
    <s v="April"/>
    <s v="John Johnson"/>
  </r>
  <r>
    <x v="1"/>
    <x v="0"/>
    <n v="12"/>
    <n v="52"/>
    <x v="0"/>
    <n v="52.848213999999999"/>
    <n v="23.891978000000002"/>
    <x v="58"/>
    <s v="April"/>
    <s v="Anne Anthony"/>
  </r>
  <r>
    <x v="1"/>
    <x v="0"/>
    <n v="27"/>
    <n v="95"/>
    <x v="1"/>
    <n v="52.853842999999998"/>
    <n v="23.919668000000001"/>
    <x v="58"/>
    <s v="April"/>
    <s v="Anne Anthony"/>
  </r>
  <r>
    <x v="2"/>
    <x v="0"/>
    <n v="0.312"/>
    <n v="23"/>
    <x v="0"/>
    <n v="52.212119999999999"/>
    <n v="21.034268000000001"/>
    <x v="58"/>
    <s v="April"/>
    <s v="Anne Anthony"/>
  </r>
  <r>
    <x v="3"/>
    <x v="2"/>
    <n v="0.5"/>
    <n v="20"/>
    <x v="0"/>
    <n v="49.553240000000002"/>
    <n v="11.074007999999999"/>
    <x v="58"/>
    <s v="April"/>
    <s v="Bob Bobson"/>
  </r>
  <r>
    <x v="3"/>
    <x v="2"/>
    <n v="1.1000000000000001"/>
    <n v="20"/>
    <x v="1"/>
    <n v="49.551561999999997"/>
    <n v="11.081737"/>
    <x v="58"/>
    <s v="April"/>
    <s v="Bob Bobson"/>
  </r>
  <r>
    <x v="3"/>
    <x v="2"/>
    <n v="0.6"/>
    <n v="18"/>
    <x v="0"/>
    <n v="49.547376"/>
    <n v="11.079529000000001"/>
    <x v="58"/>
    <s v="April"/>
    <s v="Bob Bobson"/>
  </r>
  <r>
    <x v="3"/>
    <x v="2"/>
    <n v="0.8"/>
    <n v="20"/>
    <x v="0"/>
    <n v="49.560178000000001"/>
    <n v="11.093259"/>
    <x v="58"/>
    <s v="April"/>
    <s v="Bob Bobson"/>
  </r>
  <r>
    <x v="3"/>
    <x v="2"/>
    <n v="0.8"/>
    <n v="19"/>
    <x v="0"/>
    <n v="49.558968"/>
    <n v="11.106642000000001"/>
    <x v="58"/>
    <s v="April"/>
    <s v="Bob Bobson"/>
  </r>
  <r>
    <x v="3"/>
    <x v="3"/>
    <n v="0.9"/>
    <n v="20"/>
    <x v="0"/>
    <n v="48.186369999999997"/>
    <n v="17.090384"/>
    <x v="58"/>
    <s v="April"/>
    <s v="John Johnson"/>
  </r>
  <r>
    <x v="3"/>
    <x v="1"/>
    <n v="0.6"/>
    <n v="16"/>
    <x v="1"/>
    <n v="47.506034999999997"/>
    <n v="18.944527999999998"/>
    <x v="59"/>
    <s v="April"/>
    <s v="Anne Anthony"/>
  </r>
  <r>
    <x v="2"/>
    <x v="0"/>
    <n v="0.27"/>
    <n v="21"/>
    <x v="1"/>
    <n v="52.212389999999999"/>
    <n v="21.034548000000001"/>
    <x v="59"/>
    <s v="April"/>
    <s v="Anne Anthony"/>
  </r>
  <r>
    <x v="3"/>
    <x v="3"/>
    <n v="1.1000000000000001"/>
    <n v="23"/>
    <x v="0"/>
    <n v="48.183847999999998"/>
    <n v="17.082806000000001"/>
    <x v="59"/>
    <s v="April"/>
    <s v="John Johnson"/>
  </r>
  <r>
    <x v="1"/>
    <x v="3"/>
    <n v="22"/>
    <n v="73"/>
    <x v="0"/>
    <n v="48.410550999999998"/>
    <n v="18.864865999999999"/>
    <x v="59"/>
    <s v="April"/>
    <s v="John Johnson"/>
  </r>
  <r>
    <x v="2"/>
    <x v="0"/>
    <n v="0.29199999999999998"/>
    <n v="20"/>
    <x v="1"/>
    <n v="52.212432999999997"/>
    <n v="21.032495999999998"/>
    <x v="60"/>
    <s v="April"/>
    <s v="Anne Anthony"/>
  </r>
  <r>
    <x v="2"/>
    <x v="0"/>
    <n v="0.30499999999999999"/>
    <n v="19"/>
    <x v="1"/>
    <n v="52.212746000000003"/>
    <n v="21.033832"/>
    <x v="61"/>
    <s v="May"/>
    <s v="Anne Anthony"/>
  </r>
  <r>
    <x v="3"/>
    <x v="3"/>
    <n v="0.7"/>
    <n v="22"/>
    <x v="0"/>
    <n v="48.232759999999999"/>
    <n v="17.069049"/>
    <x v="61"/>
    <s v="May"/>
    <s v="John Johnson"/>
  </r>
  <r>
    <x v="3"/>
    <x v="1"/>
    <n v="0.7"/>
    <n v="16"/>
    <x v="0"/>
    <n v="47.509594999999997"/>
    <n v="18.939751000000001"/>
    <x v="62"/>
    <s v="May"/>
    <s v="Anne Anthony"/>
  </r>
  <r>
    <x v="3"/>
    <x v="1"/>
    <n v="1"/>
    <n v="20"/>
    <x v="0"/>
    <n v="47.511301000000003"/>
    <n v="18.93974"/>
    <x v="62"/>
    <s v="May"/>
    <s v="Anne Anthony"/>
  </r>
  <r>
    <x v="2"/>
    <x v="0"/>
    <n v="0.26400000000000001"/>
    <n v="21"/>
    <x v="0"/>
    <n v="52.212147999999999"/>
    <n v="21.033421000000001"/>
    <x v="63"/>
    <s v="May"/>
    <s v="Anne Anthony"/>
  </r>
  <r>
    <x v="3"/>
    <x v="2"/>
    <n v="0.7"/>
    <n v="24"/>
    <x v="0"/>
    <n v="49.560229999999997"/>
    <n v="11.102233"/>
    <x v="63"/>
    <s v="May"/>
    <s v="Bob Bobson"/>
  </r>
  <r>
    <x v="3"/>
    <x v="2"/>
    <n v="1.1000000000000001"/>
    <n v="19"/>
    <x v="1"/>
    <n v="49.548409999999997"/>
    <n v="11.078249"/>
    <x v="63"/>
    <s v="May"/>
    <s v="Bob Bobson"/>
  </r>
  <r>
    <x v="3"/>
    <x v="3"/>
    <n v="0.8"/>
    <n v="24"/>
    <x v="1"/>
    <n v="48.239628000000003"/>
    <n v="17.087298000000001"/>
    <x v="63"/>
    <s v="May"/>
    <s v="John Johnson"/>
  </r>
  <r>
    <x v="3"/>
    <x v="1"/>
    <n v="1"/>
    <n v="23"/>
    <x v="1"/>
    <n v="47.507376000000001"/>
    <n v="18.939599999999999"/>
    <x v="64"/>
    <s v="May"/>
    <s v="Anne Anthony"/>
  </r>
  <r>
    <x v="2"/>
    <x v="0"/>
    <n v="0.26600000000000001"/>
    <n v="20"/>
    <x v="0"/>
    <n v="52.212429"/>
    <n v="21.032435"/>
    <x v="64"/>
    <s v="May"/>
    <s v="Anne Anthony"/>
  </r>
  <r>
    <x v="3"/>
    <x v="3"/>
    <n v="0.5"/>
    <n v="19"/>
    <x v="0"/>
    <n v="48.231938999999997"/>
    <n v="17.087688"/>
    <x v="64"/>
    <s v="May"/>
    <s v="John Johnson"/>
  </r>
  <r>
    <x v="2"/>
    <x v="0"/>
    <n v="0.26600000000000001"/>
    <n v="21"/>
    <x v="1"/>
    <n v="52.21284"/>
    <n v="21.034376999999999"/>
    <x v="65"/>
    <s v="May"/>
    <s v="Anne Anthony"/>
  </r>
  <r>
    <x v="2"/>
    <x v="0"/>
    <n v="0.317"/>
    <n v="20"/>
    <x v="1"/>
    <n v="52.212162999999997"/>
    <n v="21.032633000000001"/>
    <x v="65"/>
    <s v="May"/>
    <s v="Anne Anthony"/>
  </r>
  <r>
    <x v="3"/>
    <x v="3"/>
    <n v="1"/>
    <n v="18"/>
    <x v="0"/>
    <n v="48.225014000000002"/>
    <n v="17.081448999999999"/>
    <x v="65"/>
    <s v="May"/>
    <s v="John Johnson"/>
  </r>
  <r>
    <x v="3"/>
    <x v="1"/>
    <n v="0.6"/>
    <n v="17"/>
    <x v="1"/>
    <n v="47.506310999999997"/>
    <n v="18.947371"/>
    <x v="66"/>
    <s v="May"/>
    <s v="Anne Anthony"/>
  </r>
  <r>
    <x v="2"/>
    <x v="0"/>
    <n v="0.27"/>
    <n v="23"/>
    <x v="1"/>
    <n v="52.212553"/>
    <n v="21.032768000000001"/>
    <x v="66"/>
    <s v="May"/>
    <s v="Anne Anthony"/>
  </r>
  <r>
    <x v="3"/>
    <x v="3"/>
    <n v="0.7"/>
    <n v="22"/>
    <x v="1"/>
    <n v="48.225116"/>
    <n v="17.086407999999999"/>
    <x v="66"/>
    <s v="May"/>
    <s v="John Johnson"/>
  </r>
  <r>
    <x v="2"/>
    <x v="0"/>
    <n v="0.27900000000000003"/>
    <n v="22"/>
    <x v="0"/>
    <n v="52.212411000000003"/>
    <n v="21.033173000000001"/>
    <x v="67"/>
    <s v="May"/>
    <s v="Anne Anthony"/>
  </r>
  <r>
    <x v="3"/>
    <x v="1"/>
    <n v="1"/>
    <n v="18"/>
    <x v="1"/>
    <n v="47.507019"/>
    <n v="18.944015"/>
    <x v="68"/>
    <s v="May"/>
    <s v="Anne Anthony"/>
  </r>
  <r>
    <x v="3"/>
    <x v="3"/>
    <n v="0.4"/>
    <n v="13"/>
    <x v="0"/>
    <n v="48.237386000000001"/>
    <n v="17.078351999999999"/>
    <x v="68"/>
    <s v="May"/>
    <s v="John Johnson"/>
  </r>
  <r>
    <x v="3"/>
    <x v="1"/>
    <n v="1"/>
    <n v="23"/>
    <x v="0"/>
    <n v="47.510077000000003"/>
    <n v="18.945646"/>
    <x v="69"/>
    <s v="May"/>
    <s v="Anne Anthony"/>
  </r>
  <r>
    <x v="3"/>
    <x v="1"/>
    <n v="0.7"/>
    <n v="11"/>
    <x v="1"/>
    <n v="47.507758000000003"/>
    <n v="18.949223"/>
    <x v="69"/>
    <s v="May"/>
    <s v="Anne Anthony"/>
  </r>
  <r>
    <x v="2"/>
    <x v="0"/>
    <n v="0.28000000000000003"/>
    <n v="19"/>
    <x v="1"/>
    <n v="52.212541999999999"/>
    <n v="21.033829000000001"/>
    <x v="69"/>
    <s v="May"/>
    <s v="Anne Anthony"/>
  </r>
  <r>
    <x v="2"/>
    <x v="0"/>
    <n v="0.26"/>
    <n v="19"/>
    <x v="0"/>
    <n v="52.212628000000002"/>
    <n v="21.034493999999999"/>
    <x v="69"/>
    <s v="May"/>
    <s v="Anne Anthony"/>
  </r>
  <r>
    <x v="2"/>
    <x v="0"/>
    <n v="0.29399999999999998"/>
    <n v="24"/>
    <x v="1"/>
    <n v="52.212940000000003"/>
    <n v="21.034208"/>
    <x v="69"/>
    <s v="May"/>
    <s v="Anne Anthony"/>
  </r>
  <r>
    <x v="3"/>
    <x v="3"/>
    <n v="0.6"/>
    <n v="20"/>
    <x v="0"/>
    <n v="48.235981000000002"/>
    <n v="17.081697999999999"/>
    <x v="69"/>
    <s v="May"/>
    <s v="John Johnson"/>
  </r>
  <r>
    <x v="3"/>
    <x v="3"/>
    <n v="0.8"/>
    <n v="16"/>
    <x v="1"/>
    <n v="48.234929999999999"/>
    <n v="17.084813"/>
    <x v="69"/>
    <s v="May"/>
    <s v="John Johnson"/>
  </r>
  <r>
    <x v="1"/>
    <x v="3"/>
    <n v="18"/>
    <n v="76"/>
    <x v="0"/>
    <n v="48.412723999999997"/>
    <n v="18.868877999999999"/>
    <x v="69"/>
    <s v="May"/>
    <s v="John Johnson"/>
  </r>
  <r>
    <x v="2"/>
    <x v="0"/>
    <n v="0.30599999999999999"/>
    <n v="21"/>
    <x v="0"/>
    <n v="52.211896000000003"/>
    <n v="21.033805999999998"/>
    <x v="70"/>
    <s v="May"/>
    <s v="Anne Anthony"/>
  </r>
  <r>
    <x v="2"/>
    <x v="0"/>
    <n v="0.27700000000000002"/>
    <n v="22"/>
    <x v="0"/>
    <n v="52.211924000000003"/>
    <n v="21.033242999999999"/>
    <x v="70"/>
    <s v="May"/>
    <s v="Anne Anthony"/>
  </r>
  <r>
    <x v="3"/>
    <x v="1"/>
    <n v="1.1000000000000001"/>
    <n v="22"/>
    <x v="1"/>
    <n v="47.510584000000001"/>
    <n v="18.94173"/>
    <x v="71"/>
    <s v="May"/>
    <s v="Anne Anthony"/>
  </r>
  <r>
    <x v="3"/>
    <x v="3"/>
    <n v="0.6"/>
    <n v="19"/>
    <x v="1"/>
    <n v="48.236604999999997"/>
    <n v="17.071494999999999"/>
    <x v="71"/>
    <s v="May"/>
    <s v="John Johnson"/>
  </r>
  <r>
    <x v="1"/>
    <x v="3"/>
    <n v="22"/>
    <n v="85"/>
    <x v="0"/>
    <n v="48.411436000000002"/>
    <n v="18.86478"/>
    <x v="71"/>
    <s v="May"/>
    <s v="John Johnson"/>
  </r>
  <r>
    <x v="2"/>
    <x v="0"/>
    <n v="0.34100000000000003"/>
    <n v="21"/>
    <x v="1"/>
    <n v="52.212294999999997"/>
    <n v="21.034039"/>
    <x v="72"/>
    <s v="May"/>
    <s v="Anne Anthony"/>
  </r>
  <r>
    <x v="2"/>
    <x v="0"/>
    <n v="0.33800000000000002"/>
    <n v="22"/>
    <x v="1"/>
    <n v="52.212915000000002"/>
    <n v="21.033225999999999"/>
    <x v="73"/>
    <s v="May"/>
    <s v="Anne Anthony"/>
  </r>
  <r>
    <x v="2"/>
    <x v="0"/>
    <n v="0.311"/>
    <n v="19"/>
    <x v="1"/>
    <n v="52.212600999999999"/>
    <n v="21.032613000000001"/>
    <x v="73"/>
    <s v="May"/>
    <s v="Anne Anthony"/>
  </r>
  <r>
    <x v="3"/>
    <x v="3"/>
    <n v="1.2"/>
    <n v="25"/>
    <x v="0"/>
    <n v="48.231496999999997"/>
    <n v="17.073128000000001"/>
    <x v="73"/>
    <s v="May"/>
    <s v="John Johnson"/>
  </r>
  <r>
    <x v="3"/>
    <x v="3"/>
    <n v="0.4"/>
    <n v="16"/>
    <x v="1"/>
    <n v="48.238633999999998"/>
    <n v="17.074895000000001"/>
    <x v="73"/>
    <s v="May"/>
    <s v="John Johnson"/>
  </r>
  <r>
    <x v="2"/>
    <x v="0"/>
    <n v="0.308"/>
    <n v="23"/>
    <x v="0"/>
    <n v="52.212245000000003"/>
    <n v="21.032988"/>
    <x v="74"/>
    <s v="May"/>
    <s v="Anne Anthony"/>
  </r>
  <r>
    <x v="2"/>
    <x v="0"/>
    <n v="0.308"/>
    <n v="22"/>
    <x v="1"/>
    <n v="52.212583000000002"/>
    <n v="21.032931999999999"/>
    <x v="74"/>
    <s v="May"/>
    <s v="Anne Anthony"/>
  </r>
  <r>
    <x v="2"/>
    <x v="0"/>
    <n v="0.28999999999999998"/>
    <n v="23"/>
    <x v="0"/>
    <n v="52.212065000000003"/>
    <n v="21.034571"/>
    <x v="75"/>
    <s v="May"/>
    <s v="Anne Anthony"/>
  </r>
  <r>
    <x v="3"/>
    <x v="3"/>
    <n v="0.5"/>
    <n v="16"/>
    <x v="0"/>
    <n v="48.231214000000001"/>
    <n v="17.084105000000001"/>
    <x v="75"/>
    <s v="May"/>
    <s v="John Johnson"/>
  </r>
  <r>
    <x v="1"/>
    <x v="4"/>
    <n v="21"/>
    <n v="91"/>
    <x v="1"/>
    <n v="50.881878"/>
    <n v="14.371969"/>
    <x v="75"/>
    <s v="May"/>
    <s v="John Johnson"/>
  </r>
  <r>
    <x v="2"/>
    <x v="0"/>
    <n v="0.34599999999999997"/>
    <n v="22"/>
    <x v="1"/>
    <n v="52.212305000000001"/>
    <n v="21.033920999999999"/>
    <x v="76"/>
    <s v="May"/>
    <s v="Anne Anthony"/>
  </r>
  <r>
    <x v="3"/>
    <x v="3"/>
    <n v="0.7"/>
    <n v="20"/>
    <x v="1"/>
    <n v="48.231411000000001"/>
    <n v="17.075483999999999"/>
    <x v="76"/>
    <s v="May"/>
    <s v="John Johnson"/>
  </r>
  <r>
    <x v="2"/>
    <x v="0"/>
    <n v="0.32800000000000001"/>
    <n v="20"/>
    <x v="0"/>
    <n v="52.212905999999997"/>
    <n v="21.03321"/>
    <x v="77"/>
    <s v="May"/>
    <s v="Anne Anthony"/>
  </r>
  <r>
    <x v="2"/>
    <x v="0"/>
    <n v="0.32700000000000001"/>
    <n v="24"/>
    <x v="1"/>
    <n v="52.822110000000002"/>
    <n v="23.814402999999999"/>
    <x v="78"/>
    <s v="May"/>
    <s v="Anne Anthony"/>
  </r>
  <r>
    <x v="3"/>
    <x v="3"/>
    <n v="0.8"/>
    <n v="18"/>
    <x v="0"/>
    <n v="48.237588000000002"/>
    <n v="17.090344000000002"/>
    <x v="78"/>
    <s v="May"/>
    <s v="John Johnson"/>
  </r>
  <r>
    <x v="3"/>
    <x v="3"/>
    <n v="0.7"/>
    <n v="18"/>
    <x v="1"/>
    <n v="48.232774999999997"/>
    <n v="17.070226000000002"/>
    <x v="79"/>
    <s v="May"/>
    <s v="John Johnson"/>
  </r>
  <r>
    <x v="2"/>
    <x v="0"/>
    <n v="0.27400000000000002"/>
    <n v="23"/>
    <x v="0"/>
    <n v="52.821630999999996"/>
    <n v="23.813638000000001"/>
    <x v="80"/>
    <s v="May"/>
    <s v="Anne Anthony"/>
  </r>
  <r>
    <x v="2"/>
    <x v="0"/>
    <n v="0.31"/>
    <n v="19"/>
    <x v="1"/>
    <n v="52.821523999999997"/>
    <n v="23.817036999999999"/>
    <x v="81"/>
    <s v="May"/>
    <s v="Anne Anthony"/>
  </r>
  <r>
    <x v="3"/>
    <x v="3"/>
    <n v="0.8"/>
    <n v="18"/>
    <x v="0"/>
    <n v="48.226889999999997"/>
    <n v="17.084025"/>
    <x v="81"/>
    <s v="May"/>
    <s v="John Johnson"/>
  </r>
  <r>
    <x v="1"/>
    <x v="3"/>
    <n v="25"/>
    <n v="101"/>
    <x v="1"/>
    <n v="48.412941000000004"/>
    <n v="18.863683999999999"/>
    <x v="81"/>
    <s v="May"/>
    <s v="John Johnson"/>
  </r>
  <r>
    <x v="3"/>
    <x v="3"/>
    <n v="0.6"/>
    <n v="18"/>
    <x v="1"/>
    <n v="48.237124000000001"/>
    <n v="17.085811"/>
    <x v="82"/>
    <s v="May"/>
    <s v="John Johnson"/>
  </r>
  <r>
    <x v="2"/>
    <x v="0"/>
    <n v="0.315"/>
    <n v="24"/>
    <x v="1"/>
    <n v="52.822949999999999"/>
    <n v="23.812750000000001"/>
    <x v="83"/>
    <s v="May"/>
    <s v="Anne Anthony"/>
  </r>
  <r>
    <x v="2"/>
    <x v="0"/>
    <n v="0.29299999999999998"/>
    <n v="22"/>
    <x v="1"/>
    <n v="52.820813000000001"/>
    <n v="23.809086000000001"/>
    <x v="83"/>
    <s v="May"/>
    <s v="Anne Anthony"/>
  </r>
  <r>
    <x v="2"/>
    <x v="0"/>
    <n v="0.30199999999999999"/>
    <n v="24"/>
    <x v="0"/>
    <n v="52.825792999999997"/>
    <n v="23.811067999999999"/>
    <x v="83"/>
    <s v="May"/>
    <s v="Anne Anthony"/>
  </r>
  <r>
    <x v="2"/>
    <x v="0"/>
    <n v="0.29899999999999999"/>
    <n v="20"/>
    <x v="1"/>
    <n v="52.820307999999997"/>
    <n v="23.809736000000001"/>
    <x v="83"/>
    <s v="May"/>
    <s v="Anne Anthony"/>
  </r>
  <r>
    <x v="3"/>
    <x v="3"/>
    <n v="0.6"/>
    <n v="15"/>
    <x v="0"/>
    <n v="48.228141000000001"/>
    <n v="17.089054999999998"/>
    <x v="83"/>
    <s v="May"/>
    <s v="John Johnson"/>
  </r>
  <r>
    <x v="1"/>
    <x v="3"/>
    <n v="30"/>
    <n v="115"/>
    <x v="0"/>
    <n v="48.408025000000002"/>
    <n v="18.865228999999999"/>
    <x v="83"/>
    <s v="May"/>
    <s v="John Johnson"/>
  </r>
  <r>
    <x v="2"/>
    <x v="0"/>
    <n v="0.32500000000000001"/>
    <n v="20"/>
    <x v="0"/>
    <n v="52.823959000000002"/>
    <n v="23.817073000000001"/>
    <x v="84"/>
    <s v="June"/>
    <s v="Anne Anthony"/>
  </r>
  <r>
    <x v="2"/>
    <x v="0"/>
    <n v="0.27600000000000002"/>
    <n v="22"/>
    <x v="0"/>
    <n v="52.825746000000002"/>
    <n v="23.815204000000001"/>
    <x v="84"/>
    <s v="June"/>
    <s v="Anne Anthony"/>
  </r>
  <r>
    <x v="2"/>
    <x v="0"/>
    <n v="0.29799999999999999"/>
    <n v="24"/>
    <x v="1"/>
    <n v="52.823594999999997"/>
    <n v="23.814758000000001"/>
    <x v="84"/>
    <s v="June"/>
    <s v="Anne Anthony"/>
  </r>
  <r>
    <x v="2"/>
    <x v="0"/>
    <n v="0.32200000000000001"/>
    <n v="23"/>
    <x v="0"/>
    <n v="52.825363000000003"/>
    <n v="23.816828999999998"/>
    <x v="84"/>
    <s v="June"/>
    <s v="Anne Anthony"/>
  </r>
  <r>
    <x v="2"/>
    <x v="0"/>
    <n v="0.34399999999999997"/>
    <n v="22"/>
    <x v="1"/>
    <n v="52.821958000000002"/>
    <n v="23.811375000000002"/>
    <x v="84"/>
    <s v="June"/>
    <s v="Anne Anthony"/>
  </r>
  <r>
    <x v="2"/>
    <x v="0"/>
    <n v="0.32300000000000001"/>
    <n v="22"/>
    <x v="1"/>
    <n v="52.823084000000001"/>
    <n v="23.816106000000001"/>
    <x v="84"/>
    <s v="June"/>
    <s v="Anne Anthony"/>
  </r>
  <r>
    <x v="3"/>
    <x v="3"/>
    <n v="0.6"/>
    <n v="15"/>
    <x v="0"/>
    <n v="48.238912999999997"/>
    <n v="17.065508000000001"/>
    <x v="85"/>
    <s v="June"/>
    <s v="John Johnson"/>
  </r>
  <r>
    <x v="3"/>
    <x v="3"/>
    <n v="0.7"/>
    <n v="14"/>
    <x v="1"/>
    <n v="48.237761999999996"/>
    <n v="17.067101000000001"/>
    <x v="86"/>
    <s v="June"/>
    <s v="John Johnson"/>
  </r>
  <r>
    <x v="3"/>
    <x v="3"/>
    <n v="0.7"/>
    <n v="17"/>
    <x v="1"/>
    <n v="48.238517000000002"/>
    <n v="17.090267999999998"/>
    <x v="86"/>
    <s v="June"/>
    <s v="John Johnson"/>
  </r>
  <r>
    <x v="3"/>
    <x v="3"/>
    <n v="0.7"/>
    <n v="24"/>
    <x v="0"/>
    <n v="48.232384000000003"/>
    <n v="17.067453"/>
    <x v="87"/>
    <s v="June"/>
    <s v="John Johnson"/>
  </r>
  <r>
    <x v="2"/>
    <x v="4"/>
    <n v="0.32400000000000001"/>
    <n v="19"/>
    <x v="0"/>
    <n v="50.881376000000003"/>
    <n v="14.367502999999999"/>
    <x v="88"/>
    <s v="June"/>
    <s v="John Johnson"/>
  </r>
  <r>
    <x v="2"/>
    <x v="4"/>
    <n v="0.32400000000000001"/>
    <n v="19"/>
    <x v="1"/>
    <n v="50.883324999999999"/>
    <n v="14.372463"/>
    <x v="88"/>
    <s v="June"/>
    <s v="John Johnson"/>
  </r>
  <r>
    <x v="1"/>
    <x v="3"/>
    <n v="19"/>
    <n v="84"/>
    <x v="1"/>
    <n v="48.408917000000002"/>
    <n v="18.862915000000001"/>
    <x v="89"/>
    <s v="June"/>
    <s v="John Johnson"/>
  </r>
  <r>
    <x v="2"/>
    <x v="4"/>
    <n v="0.29099999999999998"/>
    <n v="21"/>
    <x v="1"/>
    <n v="50.881428"/>
    <n v="14.366688999999999"/>
    <x v="90"/>
    <s v="June"/>
    <s v="John Johnson"/>
  </r>
  <r>
    <x v="2"/>
    <x v="4"/>
    <n v="0.25800000000000001"/>
    <n v="20"/>
    <x v="0"/>
    <n v="50.882641999999997"/>
    <n v="14.372818000000001"/>
    <x v="90"/>
    <s v="June"/>
    <s v="John Johnson"/>
  </r>
  <r>
    <x v="2"/>
    <x v="4"/>
    <n v="0.33300000000000002"/>
    <n v="23"/>
    <x v="0"/>
    <n v="50.883848999999998"/>
    <n v="14.367353"/>
    <x v="91"/>
    <s v="June"/>
    <s v="John Johnson"/>
  </r>
  <r>
    <x v="2"/>
    <x v="4"/>
    <n v="0.27800000000000002"/>
    <n v="18"/>
    <x v="1"/>
    <n v="50.884287999999998"/>
    <n v="14.372837000000001"/>
    <x v="92"/>
    <s v="June"/>
    <s v="John Johnson"/>
  </r>
  <r>
    <x v="1"/>
    <x v="3"/>
    <n v="23"/>
    <n v="95"/>
    <x v="0"/>
    <n v="48.411735999999998"/>
    <n v="18.874597000000001"/>
    <x v="93"/>
    <s v="June"/>
    <s v="John Johnson"/>
  </r>
  <r>
    <x v="1"/>
    <x v="3"/>
    <n v="11"/>
    <n v="52"/>
    <x v="1"/>
    <n v="48.411790000000003"/>
    <n v="18.871649999999999"/>
    <x v="93"/>
    <s v="June"/>
    <s v="John Johnson"/>
  </r>
  <r>
    <x v="1"/>
    <x v="4"/>
    <n v="25"/>
    <n v="97"/>
    <x v="1"/>
    <n v="50.881003"/>
    <n v="14.369286000000001"/>
    <x v="94"/>
    <s v="June"/>
    <s v="John Johnson"/>
  </r>
  <r>
    <x v="1"/>
    <x v="3"/>
    <n v="15"/>
    <n v="65"/>
    <x v="1"/>
    <n v="48.406339000000003"/>
    <n v="18.841070999999999"/>
    <x v="95"/>
    <s v="July"/>
    <s v="James Johnson"/>
  </r>
  <r>
    <x v="1"/>
    <x v="3"/>
    <n v="18"/>
    <n v="85"/>
    <x v="0"/>
    <n v="48.411729000000001"/>
    <n v="18.835591000000001"/>
    <x v="95"/>
    <s v="July"/>
    <s v="James Johnson"/>
  </r>
  <r>
    <x v="2"/>
    <x v="3"/>
    <n v="0.29699999999999999"/>
    <n v="20"/>
    <x v="1"/>
    <n v="49.054132000000003"/>
    <n v="22.411066000000002"/>
    <x v="95"/>
    <s v="July"/>
    <s v="James Johnson"/>
  </r>
  <r>
    <x v="2"/>
    <x v="3"/>
    <n v="0.27300000000000002"/>
    <n v="23"/>
    <x v="1"/>
    <n v="49.055962000000001"/>
    <n v="22.425526999999999"/>
    <x v="95"/>
    <s v="July"/>
    <s v="James Johnson"/>
  </r>
  <r>
    <x v="2"/>
    <x v="3"/>
    <n v="0.254"/>
    <n v="19"/>
    <x v="0"/>
    <n v="49.055646000000003"/>
    <n v="22.412458000000001"/>
    <x v="95"/>
    <s v="July"/>
    <s v="James Johnson"/>
  </r>
  <r>
    <x v="2"/>
    <x v="3"/>
    <n v="0.30499999999999999"/>
    <n v="20"/>
    <x v="1"/>
    <n v="49.052909999999997"/>
    <n v="22.420860999999999"/>
    <x v="95"/>
    <s v="July"/>
    <s v="James Johnson"/>
  </r>
  <r>
    <x v="2"/>
    <x v="3"/>
    <n v="0.32700000000000001"/>
    <n v="19"/>
    <x v="1"/>
    <n v="49.055546999999997"/>
    <n v="22.411172000000001"/>
    <x v="95"/>
    <s v="July"/>
    <s v="James Johnson"/>
  </r>
  <r>
    <x v="2"/>
    <x v="3"/>
    <n v="0.30499999999999999"/>
    <n v="20"/>
    <x v="0"/>
    <n v="49.054647000000003"/>
    <n v="22.410444999999999"/>
    <x v="95"/>
    <s v="July"/>
    <s v="James Johnson"/>
  </r>
  <r>
    <x v="3"/>
    <x v="3"/>
    <n v="1"/>
    <n v="17"/>
    <x v="0"/>
    <n v="48.226063000000003"/>
    <n v="17.078596000000001"/>
    <x v="96"/>
    <s v="July"/>
    <s v="James Johnson"/>
  </r>
  <r>
    <x v="3"/>
    <x v="3"/>
    <n v="0.6"/>
    <n v="16"/>
    <x v="1"/>
    <n v="48.238067000000001"/>
    <n v="17.090890999999999"/>
    <x v="96"/>
    <s v="July"/>
    <s v="James Johnson"/>
  </r>
  <r>
    <x v="3"/>
    <x v="3"/>
    <n v="1.1000000000000001"/>
    <n v="20"/>
    <x v="1"/>
    <n v="48.239539999999998"/>
    <n v="17.066718999999999"/>
    <x v="96"/>
    <s v="July"/>
    <s v="James Johnson"/>
  </r>
  <r>
    <x v="2"/>
    <x v="3"/>
    <n v="0.32700000000000001"/>
    <n v="23"/>
    <x v="0"/>
    <n v="49.057284000000003"/>
    <n v="22.423860999999999"/>
    <x v="97"/>
    <s v="August"/>
    <s v="James Johnson"/>
  </r>
  <r>
    <x v="2"/>
    <x v="3"/>
    <n v="0.31900000000000001"/>
    <n v="22"/>
    <x v="1"/>
    <n v="49.054751000000003"/>
    <n v="22.419160000000002"/>
    <x v="97"/>
    <s v="August"/>
    <s v="James Johnson"/>
  </r>
  <r>
    <x v="2"/>
    <x v="3"/>
    <n v="0.30299999999999999"/>
    <n v="20"/>
    <x v="0"/>
    <n v="49.055929999999996"/>
    <n v="22.424085000000002"/>
    <x v="97"/>
    <s v="August"/>
    <s v="James Johnson"/>
  </r>
  <r>
    <x v="1"/>
    <x v="3"/>
    <n v="12"/>
    <n v="61"/>
    <x v="0"/>
    <n v="48.413927999999999"/>
    <n v="18.835280999999998"/>
    <x v="98"/>
    <s v="September"/>
    <s v="James Johnson"/>
  </r>
  <r>
    <x v="2"/>
    <x v="3"/>
    <n v="0.309"/>
    <n v="20"/>
    <x v="1"/>
    <n v="49.057758"/>
    <n v="22.415168999999999"/>
    <x v="98"/>
    <s v="September"/>
    <s v="James Johnson"/>
  </r>
  <r>
    <x v="2"/>
    <x v="3"/>
    <n v="0.33200000000000002"/>
    <n v="19"/>
    <x v="0"/>
    <n v="48.185695000000003"/>
    <n v="17.090741999999999"/>
    <x v="98"/>
    <s v="September"/>
    <s v="James Johnson"/>
  </r>
  <r>
    <x v="2"/>
    <x v="3"/>
    <n v="0.33100000000000002"/>
    <n v="18"/>
    <x v="1"/>
    <n v="48.186039999999998"/>
    <n v="17.091146999999999"/>
    <x v="99"/>
    <s v="November"/>
    <s v="James Johnson"/>
  </r>
  <r>
    <x v="3"/>
    <x v="1"/>
    <n v="1"/>
    <n v="23"/>
    <x v="0"/>
    <n v="47.509754999999998"/>
    <n v="18.949465"/>
    <x v="100"/>
    <s v="May"/>
    <s v="Anne Anthony"/>
  </r>
  <r>
    <x v="3"/>
    <x v="1"/>
    <n v="0.9"/>
    <n v="16"/>
    <x v="1"/>
    <n v="47.507052999999999"/>
    <n v="18.943306"/>
    <x v="100"/>
    <s v="May"/>
    <s v="Anne Anthony"/>
  </r>
  <r>
    <x v="2"/>
    <x v="0"/>
    <n v="0.28100000000000003"/>
    <n v="21"/>
    <x v="0"/>
    <n v="52.211984999999999"/>
    <n v="21.032869000000002"/>
    <x v="100"/>
    <s v="May"/>
    <s v="Anne Anthony"/>
  </r>
  <r>
    <x v="3"/>
    <x v="3"/>
    <n v="0.6"/>
    <n v="19"/>
    <x v="1"/>
    <n v="48.184621"/>
    <n v="17.089464"/>
    <x v="100"/>
    <s v="May"/>
    <s v="John Johnson"/>
  </r>
  <r>
    <x v="1"/>
    <x v="3"/>
    <n v="27"/>
    <n v="96"/>
    <x v="0"/>
    <n v="48.406669000000001"/>
    <n v="18.871601999999999"/>
    <x v="100"/>
    <s v="May"/>
    <s v="John Johnson"/>
  </r>
  <r>
    <x v="1"/>
    <x v="0"/>
    <n v="13"/>
    <n v="63"/>
    <x v="1"/>
    <n v="52.846378999999999"/>
    <n v="23.904990000000002"/>
    <x v="101"/>
    <s v="May"/>
    <s v="Anne Anthony"/>
  </r>
  <r>
    <x v="1"/>
    <x v="0"/>
    <n v="20"/>
    <n v="87"/>
    <x v="1"/>
    <n v="52.852069"/>
    <n v="23.900870000000001"/>
    <x v="101"/>
    <s v="May"/>
    <s v="Anne Anthony"/>
  </r>
  <r>
    <x v="2"/>
    <x v="0"/>
    <n v="0.28199999999999997"/>
    <n v="22"/>
    <x v="1"/>
    <n v="52.212910999999998"/>
    <n v="21.034175000000001"/>
    <x v="101"/>
    <s v="May"/>
    <s v="Anne Anthony"/>
  </r>
  <r>
    <x v="2"/>
    <x v="2"/>
    <n v="0.30499999999999999"/>
    <n v="21"/>
    <x v="1"/>
    <n v="48.162609000000003"/>
    <n v="11.494157"/>
    <x v="101"/>
    <s v="May"/>
    <s v="Bob Bobson"/>
  </r>
  <r>
    <x v="0"/>
    <x v="4"/>
    <n v="727"/>
    <n v="210"/>
    <x v="0"/>
    <n v="50.643056000000001"/>
    <n v="14.843037000000001"/>
    <x v="101"/>
    <s v="May"/>
    <s v="John Johnson"/>
  </r>
  <r>
    <x v="1"/>
    <x v="3"/>
    <n v="25"/>
    <n v="107"/>
    <x v="1"/>
    <n v="48.408475000000003"/>
    <n v="18.872534999999999"/>
    <x v="101"/>
    <s v="May"/>
    <s v="John Johnson"/>
  </r>
  <r>
    <x v="3"/>
    <x v="1"/>
    <n v="1.2"/>
    <n v="26"/>
    <x v="0"/>
    <n v="47.509103000000003"/>
    <n v="18.948170999999999"/>
    <x v="102"/>
    <s v="May"/>
    <s v="Anne Anthony"/>
  </r>
  <r>
    <x v="3"/>
    <x v="3"/>
    <n v="1.1000000000000001"/>
    <n v="22"/>
    <x v="0"/>
    <n v="48.183926999999997"/>
    <n v="17.090716"/>
    <x v="102"/>
    <s v="May"/>
    <s v="John Johnson"/>
  </r>
  <r>
    <x v="2"/>
    <x v="0"/>
    <n v="0.317"/>
    <n v="19"/>
    <x v="1"/>
    <n v="52.212310000000002"/>
    <n v="21.033586"/>
    <x v="103"/>
    <s v="May"/>
    <s v="Anne Anthony"/>
  </r>
  <r>
    <x v="3"/>
    <x v="1"/>
    <n v="0.7"/>
    <n v="26"/>
    <x v="0"/>
    <n v="47.510697"/>
    <n v="18.948588000000001"/>
    <x v="104"/>
    <s v="May"/>
    <s v="Anne Anthony"/>
  </r>
  <r>
    <x v="3"/>
    <x v="1"/>
    <n v="1.1000000000000001"/>
    <n v="21"/>
    <x v="1"/>
    <n v="47.505903000000004"/>
    <n v="18.948537999999999"/>
    <x v="104"/>
    <s v="May"/>
    <s v="Anne Anthony"/>
  </r>
  <r>
    <x v="1"/>
    <x v="0"/>
    <n v="24"/>
    <n v="89"/>
    <x v="1"/>
    <n v="52.847482999999997"/>
    <n v="23.906057000000001"/>
    <x v="104"/>
    <s v="May"/>
    <s v="Anne Anthony"/>
  </r>
  <r>
    <x v="3"/>
    <x v="2"/>
    <n v="0.6"/>
    <n v="23"/>
    <x v="1"/>
    <n v="49.561219999999999"/>
    <n v="11.082195"/>
    <x v="104"/>
    <s v="May"/>
    <s v="Bob Bobson"/>
  </r>
  <r>
    <x v="3"/>
    <x v="2"/>
    <n v="0.7"/>
    <n v="21"/>
    <x v="1"/>
    <n v="49.559522999999999"/>
    <n v="11.103683999999999"/>
    <x v="104"/>
    <s v="May"/>
    <s v="Bob Bobson"/>
  </r>
  <r>
    <x v="3"/>
    <x v="2"/>
    <n v="0.6"/>
    <n v="23"/>
    <x v="0"/>
    <n v="49.547725"/>
    <n v="11.082734"/>
    <x v="104"/>
    <s v="May"/>
    <s v="Bob Bobson"/>
  </r>
  <r>
    <x v="3"/>
    <x v="3"/>
    <n v="1"/>
    <n v="21"/>
    <x v="0"/>
    <n v="48.185893"/>
    <n v="17.08942"/>
    <x v="104"/>
    <s v="May"/>
    <s v="John Johnson"/>
  </r>
  <r>
    <x v="3"/>
    <x v="3"/>
    <n v="0.4"/>
    <n v="16"/>
    <x v="0"/>
    <n v="48.187845000000003"/>
    <n v="17.086572"/>
    <x v="104"/>
    <s v="May"/>
    <s v="John Johnson"/>
  </r>
  <r>
    <x v="3"/>
    <x v="3"/>
    <n v="0.7"/>
    <n v="19"/>
    <x v="1"/>
    <n v="48.184277999999999"/>
    <n v="17.086877999999999"/>
    <x v="104"/>
    <s v="May"/>
    <s v="John Johnson"/>
  </r>
  <r>
    <x v="2"/>
    <x v="0"/>
    <n v="0.30099999999999999"/>
    <n v="22"/>
    <x v="0"/>
    <n v="52.212760000000003"/>
    <n v="21.034189000000001"/>
    <x v="105"/>
    <s v="May"/>
    <s v="Anne Anthony"/>
  </r>
  <r>
    <x v="2"/>
    <x v="0"/>
    <n v="0.34300000000000003"/>
    <n v="22"/>
    <x v="0"/>
    <n v="52.212496999999999"/>
    <n v="21.033515000000001"/>
    <x v="105"/>
    <s v="May"/>
    <s v="Anne Anthony"/>
  </r>
  <r>
    <x v="2"/>
    <x v="0"/>
    <n v="0.307"/>
    <n v="20"/>
    <x v="1"/>
    <n v="52.212144000000002"/>
    <n v="21.033534"/>
    <x v="105"/>
    <s v="May"/>
    <s v="Anne Anthony"/>
  </r>
  <r>
    <x v="3"/>
    <x v="3"/>
    <n v="0.8"/>
    <n v="21"/>
    <x v="0"/>
    <n v="48.187468000000003"/>
    <n v="17.088826999999998"/>
    <x v="105"/>
    <s v="May"/>
    <s v="John Johnson"/>
  </r>
  <r>
    <x v="3"/>
    <x v="1"/>
    <n v="0.9"/>
    <n v="23"/>
    <x v="0"/>
    <n v="47.510055000000001"/>
    <n v="18.944355999999999"/>
    <x v="106"/>
    <s v="May"/>
    <s v="Anne Anthony"/>
  </r>
  <r>
    <x v="2"/>
    <x v="0"/>
    <n v="0.34599999999999997"/>
    <n v="20"/>
    <x v="1"/>
    <n v="52.212001000000001"/>
    <n v="21.033187000000002"/>
    <x v="106"/>
    <s v="May"/>
    <s v="Anne Anthony"/>
  </r>
  <r>
    <x v="3"/>
    <x v="2"/>
    <n v="1"/>
    <n v="23"/>
    <x v="1"/>
    <n v="49.561356000000004"/>
    <n v="11.105333999999999"/>
    <x v="106"/>
    <s v="May"/>
    <s v="Bob Bobson"/>
  </r>
  <r>
    <x v="3"/>
    <x v="2"/>
    <n v="0.5"/>
    <n v="17"/>
    <x v="1"/>
    <n v="49.561568999999999"/>
    <n v="11.087046000000001"/>
    <x v="106"/>
    <s v="May"/>
    <s v="Bob Bobson"/>
  </r>
  <r>
    <x v="3"/>
    <x v="1"/>
    <n v="0.9"/>
    <n v="16"/>
    <x v="1"/>
    <n v="47.509860000000003"/>
    <n v="18.939943"/>
    <x v="107"/>
    <s v="May"/>
    <s v="Anne Anthony"/>
  </r>
  <r>
    <x v="4"/>
    <x v="7"/>
    <m/>
    <m/>
    <x v="2"/>
    <m/>
    <m/>
    <x v="108"/>
    <s v=""/>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9F1EBE-5FCB-4270-978F-E363058D70CD}"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D25:I35" firstHeaderRow="1" firstDataRow="2" firstDataCol="1"/>
  <pivotFields count="11">
    <pivotField axis="axisCol" dataField="1" showAll="0">
      <items count="6">
        <item x="0"/>
        <item x="3"/>
        <item x="1"/>
        <item x="2"/>
        <item x="4"/>
        <item t="default"/>
      </items>
    </pivotField>
    <pivotField showAll="0"/>
    <pivotField showAll="0"/>
    <pivotField showAll="0"/>
    <pivotField showAll="0"/>
    <pivotField showAll="0"/>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100"/>
        <item x="101"/>
        <item x="102"/>
        <item x="103"/>
        <item x="104"/>
        <item x="105"/>
        <item x="106"/>
        <item x="107"/>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8"/>
        <item t="default"/>
      </items>
    </pivotField>
    <pivotField showAll="0"/>
    <pivotField showAll="0"/>
    <pivotField axis="axisRow" showAll="0">
      <items count="15">
        <item h="1" x="0"/>
        <item x="1"/>
        <item x="2"/>
        <item x="3"/>
        <item x="4"/>
        <item x="5"/>
        <item x="6"/>
        <item x="7"/>
        <item x="8"/>
        <item x="9"/>
        <item x="10"/>
        <item x="11"/>
        <item x="12"/>
        <item x="13"/>
        <item t="default"/>
      </items>
    </pivotField>
  </pivotFields>
  <rowFields count="1">
    <field x="10"/>
  </rowFields>
  <rowItems count="9">
    <i>
      <x v="3"/>
    </i>
    <i>
      <x v="4"/>
    </i>
    <i>
      <x v="5"/>
    </i>
    <i>
      <x v="6"/>
    </i>
    <i>
      <x v="7"/>
    </i>
    <i>
      <x v="8"/>
    </i>
    <i>
      <x v="9"/>
    </i>
    <i>
      <x v="11"/>
    </i>
    <i t="grand">
      <x/>
    </i>
  </rowItems>
  <colFields count="1">
    <field x="0"/>
  </colFields>
  <colItems count="5">
    <i>
      <x/>
    </i>
    <i>
      <x v="1"/>
    </i>
    <i>
      <x v="2"/>
    </i>
    <i>
      <x v="3"/>
    </i>
    <i>
      <x v="4"/>
    </i>
  </colItems>
  <dataFields count="1">
    <dataField name="Count of Animal Type" fld="0" subtotal="count" baseField="0" baseItem="0"/>
  </dataFields>
  <chartFormats count="6">
    <chartFormat chart="12" format="30" series="1">
      <pivotArea type="data" outline="0" fieldPosition="0">
        <references count="2">
          <reference field="4294967294" count="1" selected="0">
            <x v="0"/>
          </reference>
          <reference field="0" count="1" selected="0">
            <x v="0"/>
          </reference>
        </references>
      </pivotArea>
    </chartFormat>
    <chartFormat chart="12" format="31" series="1">
      <pivotArea type="data" outline="0" fieldPosition="0">
        <references count="2">
          <reference field="4294967294" count="1" selected="0">
            <x v="0"/>
          </reference>
          <reference field="0" count="1" selected="0">
            <x v="1"/>
          </reference>
        </references>
      </pivotArea>
    </chartFormat>
    <chartFormat chart="12" format="32" series="1">
      <pivotArea type="data" outline="0" fieldPosition="0">
        <references count="2">
          <reference field="4294967294" count="1" selected="0">
            <x v="0"/>
          </reference>
          <reference field="0" count="1" selected="0">
            <x v="2"/>
          </reference>
        </references>
      </pivotArea>
    </chartFormat>
    <chartFormat chart="12" format="33" series="1">
      <pivotArea type="data" outline="0" fieldPosition="0">
        <references count="2">
          <reference field="4294967294" count="1" selected="0">
            <x v="0"/>
          </reference>
          <reference field="0" count="1" selected="0">
            <x v="3"/>
          </reference>
        </references>
      </pivotArea>
    </chartFormat>
    <chartFormat chart="12" format="34" series="1">
      <pivotArea type="data" outline="0" fieldPosition="0">
        <references count="2">
          <reference field="4294967294" count="1" selected="0">
            <x v="0"/>
          </reference>
          <reference field="0" count="1" selected="0">
            <x v="4"/>
          </reference>
        </references>
      </pivotArea>
    </chartFormat>
    <chartFormat chart="12"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305200-F897-4B3D-B038-897DA013240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D3:F8" firstHeaderRow="0" firstDataRow="1" firstDataCol="1"/>
  <pivotFields count="11">
    <pivotField axis="axisRow" showAll="0">
      <items count="6">
        <item x="0"/>
        <item x="3"/>
        <item x="1"/>
        <item x="2"/>
        <item x="4"/>
        <item t="default"/>
      </items>
    </pivotField>
    <pivotField showAll="0"/>
    <pivotField dataField="1" showAll="0"/>
    <pivotField dataField="1" showAll="0"/>
    <pivotField showAll="0"/>
    <pivotField showAll="0"/>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100"/>
        <item x="101"/>
        <item x="102"/>
        <item x="103"/>
        <item x="104"/>
        <item x="105"/>
        <item x="106"/>
        <item x="107"/>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8"/>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0"/>
  </rowFields>
  <rowItems count="5">
    <i>
      <x/>
    </i>
    <i>
      <x v="1"/>
    </i>
    <i>
      <x v="2"/>
    </i>
    <i>
      <x v="3"/>
    </i>
    <i>
      <x v="4"/>
    </i>
  </rowItems>
  <colFields count="1">
    <field x="-2"/>
  </colFields>
  <colItems count="2">
    <i>
      <x/>
    </i>
    <i i="1">
      <x v="1"/>
    </i>
  </colItems>
  <dataFields count="2">
    <dataField name=" Average Weight (kg)" fld="2" subtotal="average" baseField="0" baseItem="0"/>
    <dataField name=" Average Body Length (cm)" fld="3" subtotal="average" baseField="0" baseItem="0" numFmtId="1"/>
  </dataFields>
  <formats count="6">
    <format dxfId="5">
      <pivotArea collapsedLevelsAreSubtotals="1" fieldPosition="0">
        <references count="1">
          <reference field="0" count="1">
            <x v="0"/>
          </reference>
        </references>
      </pivotArea>
    </format>
    <format dxfId="6">
      <pivotArea collapsedLevelsAreSubtotals="1" fieldPosition="0">
        <references count="1">
          <reference field="0" count="1">
            <x v="2"/>
          </reference>
        </references>
      </pivotArea>
    </format>
    <format dxfId="7">
      <pivotArea collapsedLevelsAreSubtotals="1" fieldPosition="0">
        <references count="1">
          <reference field="0" count="1">
            <x v="1"/>
          </reference>
        </references>
      </pivotArea>
    </format>
    <format dxfId="8">
      <pivotArea collapsedLevelsAreSubtotals="1" fieldPosition="0">
        <references count="1">
          <reference field="0" count="1">
            <x v="3"/>
          </reference>
        </references>
      </pivotArea>
    </format>
    <format dxfId="9">
      <pivotArea outline="0" collapsedLevelsAreSubtotals="1" fieldPosition="0">
        <references count="1">
          <reference field="4294967294" count="1" selected="0">
            <x v="1"/>
          </reference>
        </references>
      </pivotArea>
    </format>
    <format dxfId="10">
      <pivotArea collapsedLevelsAreSubtotals="1" fieldPosition="0">
        <references count="2">
          <reference field="4294967294" count="1" selected="0">
            <x v="0"/>
          </reference>
          <reference field="0" count="1">
            <x v="3"/>
          </reference>
        </references>
      </pivotArea>
    </format>
  </formats>
  <chartFormats count="8">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12" format="10"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3EF6C7-2677-4618-8C50-722BFE8E8F05}"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3:B20" firstHeaderRow="1" firstDataRow="1" firstDataCol="1"/>
  <pivotFields count="11">
    <pivotField dataField="1" showAll="0">
      <items count="6">
        <item x="0"/>
        <item x="3"/>
        <item x="1"/>
        <item x="2"/>
        <item x="4"/>
        <item t="default"/>
      </items>
    </pivotField>
    <pivotField axis="axisRow" showAll="0" sortType="descending">
      <items count="9">
        <item h="1" x="7"/>
        <item x="3"/>
        <item x="0"/>
        <item x="1"/>
        <item x="2"/>
        <item x="4"/>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100"/>
        <item x="101"/>
        <item x="102"/>
        <item x="103"/>
        <item x="104"/>
        <item x="105"/>
        <item x="106"/>
        <item x="107"/>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8"/>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7">
    <i>
      <x v="2"/>
    </i>
    <i>
      <x v="4"/>
    </i>
    <i>
      <x v="1"/>
    </i>
    <i>
      <x v="3"/>
    </i>
    <i>
      <x v="5"/>
    </i>
    <i>
      <x v="6"/>
    </i>
    <i>
      <x v="7"/>
    </i>
  </rowItems>
  <colItems count="1">
    <i/>
  </colItems>
  <dataFields count="1">
    <dataField name="Count of Animal Typ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5FA7A0-378C-482D-BF5A-00E1FB527B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11">
    <pivotField axis="axisRow" dataField="1" showAll="0" sortType="descending">
      <items count="6">
        <item x="0"/>
        <item x="3"/>
        <item x="1"/>
        <item x="2"/>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100"/>
        <item x="101"/>
        <item x="102"/>
        <item x="103"/>
        <item x="104"/>
        <item x="105"/>
        <item x="106"/>
        <item x="107"/>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8"/>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0"/>
  </rowFields>
  <rowItems count="5">
    <i>
      <x v="3"/>
    </i>
    <i>
      <x v="1"/>
    </i>
    <i>
      <x v="2"/>
    </i>
    <i>
      <x/>
    </i>
    <i t="grand">
      <x/>
    </i>
  </rowItems>
  <colItems count="1">
    <i/>
  </colItems>
  <dataFields count="1">
    <dataField name="Count of Animal Type"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F4D2BD-EAFA-4A55-ABD1-414A33306BA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D13:G19" firstHeaderRow="1" firstDataRow="2" firstDataCol="1"/>
  <pivotFields count="11">
    <pivotField axis="axisRow" dataField="1" showAll="0" sortType="descending">
      <items count="6">
        <item x="0"/>
        <item x="3"/>
        <item x="1"/>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4">
        <item x="1"/>
        <item x="0"/>
        <item x="2"/>
        <item t="default"/>
      </items>
    </pivotField>
    <pivotField showAll="0"/>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100"/>
        <item x="101"/>
        <item x="102"/>
        <item x="103"/>
        <item x="104"/>
        <item x="105"/>
        <item x="106"/>
        <item x="107"/>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8"/>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0"/>
  </rowFields>
  <rowItems count="5">
    <i>
      <x v="3"/>
    </i>
    <i>
      <x v="1"/>
    </i>
    <i>
      <x v="2"/>
    </i>
    <i>
      <x/>
    </i>
    <i>
      <x v="4"/>
    </i>
  </rowItems>
  <colFields count="1">
    <field x="4"/>
  </colFields>
  <colItems count="3">
    <i>
      <x/>
    </i>
    <i>
      <x v="1"/>
    </i>
    <i>
      <x v="2"/>
    </i>
  </colItems>
  <dataFields count="1">
    <dataField name="Count of Animal Type" fld="0" subtotal="count" baseField="0" baseItem="0" numFmtId="1"/>
  </dataFields>
  <formats count="5">
    <format dxfId="0">
      <pivotArea collapsedLevelsAreSubtotals="1" fieldPosition="0">
        <references count="1">
          <reference field="0" count="1">
            <x v="0"/>
          </reference>
        </references>
      </pivotArea>
    </format>
    <format dxfId="1">
      <pivotArea collapsedLevelsAreSubtotals="1" fieldPosition="0">
        <references count="1">
          <reference field="0" count="1">
            <x v="2"/>
          </reference>
        </references>
      </pivotArea>
    </format>
    <format dxfId="2">
      <pivotArea collapsedLevelsAreSubtotals="1" fieldPosition="0">
        <references count="1">
          <reference field="0" count="1">
            <x v="1"/>
          </reference>
        </references>
      </pivotArea>
    </format>
    <format dxfId="3">
      <pivotArea collapsedLevelsAreSubtotals="1" fieldPosition="0">
        <references count="1">
          <reference field="0" count="1">
            <x v="3"/>
          </reference>
        </references>
      </pivotArea>
    </format>
    <format dxfId="4">
      <pivotArea outline="0" fieldPosition="0">
        <references count="1">
          <reference field="4294967294" count="1">
            <x v="0"/>
          </reference>
        </references>
      </pivotArea>
    </format>
  </formats>
  <chartFormats count="6">
    <chartFormat chart="4" format="8" series="1">
      <pivotArea type="data" outline="0" fieldPosition="0">
        <references count="2">
          <reference field="4294967294" count="1" selected="0">
            <x v="0"/>
          </reference>
          <reference field="4" count="1" selected="0">
            <x v="0"/>
          </reference>
        </references>
      </pivotArea>
    </chartFormat>
    <chartFormat chart="4" format="9" series="1">
      <pivotArea type="data" outline="0" fieldPosition="0">
        <references count="2">
          <reference field="4294967294" count="1" selected="0">
            <x v="0"/>
          </reference>
          <reference field="4" count="1" selected="0">
            <x v="1"/>
          </reference>
        </references>
      </pivotArea>
    </chartFormat>
    <chartFormat chart="4" format="10" series="1">
      <pivotArea type="data" outline="0" fieldPosition="0">
        <references count="2">
          <reference field="4294967294" count="1" selected="0">
            <x v="0"/>
          </reference>
          <reference field="4" count="1" selected="0">
            <x v="2"/>
          </reference>
        </references>
      </pivotArea>
    </chartFormat>
    <chartFormat chart="10" format="11" series="1">
      <pivotArea type="data" outline="0" fieldPosition="0">
        <references count="2">
          <reference field="4294967294" count="1" selected="0">
            <x v="0"/>
          </reference>
          <reference field="4" count="1" selected="0">
            <x v="0"/>
          </reference>
        </references>
      </pivotArea>
    </chartFormat>
    <chartFormat chart="10" format="12" series="1">
      <pivotArea type="data" outline="0" fieldPosition="0">
        <references count="2">
          <reference field="4294967294" count="1" selected="0">
            <x v="0"/>
          </reference>
          <reference field="4" count="1" selected="0">
            <x v="1"/>
          </reference>
        </references>
      </pivotArea>
    </chartFormat>
    <chartFormat chart="10" format="13"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imal_Type" xr10:uid="{48BF08F4-FEB3-49BE-9DED-FE6496DAEA5F}" sourceName="Animal Type">
  <pivotTables>
    <pivotTable tabId="5" name="PivotTable5"/>
    <pivotTable tabId="5" name="PivotTable2"/>
    <pivotTable tabId="5" name="PivotTable3"/>
    <pivotTable tabId="5" name="PivotTable6"/>
  </pivotTables>
  <data>
    <tabular pivotCacheId="1646718339">
      <items count="5">
        <i x="0" s="1"/>
        <i x="3" s="1"/>
        <i x="1" s="1"/>
        <i x="2" s="1"/>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imal Type 1" xr10:uid="{EFF2C7C8-3828-452B-A703-6D936695CE25}" cache="Slicer_Animal_Type" caption="Animal Type" columnCount="4" showCaption="0"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24B6CF-6AD7-48CA-8B39-B16720189FBC}" name="Table1" displayName="Table1" ref="A1:J835" totalsRowShown="0">
  <autoFilter ref="A1:J835" xr:uid="{7724B6CF-6AD7-48CA-8B39-B16720189FBC}">
    <filterColumn colId="4">
      <filters>
        <filter val="Male"/>
      </filters>
    </filterColumn>
  </autoFilter>
  <tableColumns count="10">
    <tableColumn id="1" xr3:uid="{269DDFAE-825E-4C1A-91D4-9A76E2D410B9}" name="Animal Type"/>
    <tableColumn id="2" xr3:uid="{EDE429C4-EBFD-4660-80D9-2EA9AF39E86B}" name="Country"/>
    <tableColumn id="3" xr3:uid="{5B74A382-4AC5-4F13-9DEB-D69EC7C17E72}" name="Weight kg"/>
    <tableColumn id="4" xr3:uid="{E6BE0315-91BB-4AAF-A4A3-35DBAA0C9FAD}" name="Body Length cm"/>
    <tableColumn id="5" xr3:uid="{5FFBFA4E-4EA5-4E4D-9CDF-2513B04CA4FE}" name="Gender"/>
    <tableColumn id="6" xr3:uid="{3479F8C9-0DB5-404B-ABAC-A0D0B09A71AA}" name="Latitude"/>
    <tableColumn id="7" xr3:uid="{E62FC099-F96E-4330-934D-4D980C20965A}" name="Longitude"/>
    <tableColumn id="9" xr3:uid="{AA2AC470-CC32-4A27-BE06-0743DA5F4941}" name="Observation date" dataDxfId="12"/>
    <tableColumn id="8" xr3:uid="{3A4C5411-0E0A-4718-8F31-6A47BD3BE238}" name="Month" dataDxfId="11">
      <calculatedColumnFormula>IF(H2="","",TEXT(H2,"MMMM"))</calculatedColumnFormula>
    </tableColumn>
    <tableColumn id="10" xr3:uid="{FE6A9CA0-C596-4046-92AA-77FF855B8352}" name="Data compiled b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DA22E-EF33-469D-A6AD-D1D8CDFEECB5}">
  <dimension ref="A1:A1012"/>
  <sheetViews>
    <sheetView workbookViewId="0">
      <selection activeCell="E382" sqref="E382"/>
    </sheetView>
  </sheetViews>
  <sheetFormatPr defaultRowHeight="14.5" x14ac:dyDescent="0.35"/>
  <sheetData>
    <row r="1" spans="1:1" x14ac:dyDescent="0.35">
      <c r="A1" t="s">
        <v>14</v>
      </c>
    </row>
    <row r="2" spans="1:1" x14ac:dyDescent="0.35">
      <c r="A2" t="s">
        <v>15</v>
      </c>
    </row>
    <row r="3" spans="1:1" x14ac:dyDescent="0.35">
      <c r="A3" t="s">
        <v>16</v>
      </c>
    </row>
    <row r="4" spans="1:1" x14ac:dyDescent="0.35">
      <c r="A4" t="s">
        <v>17</v>
      </c>
    </row>
    <row r="5" spans="1:1" x14ac:dyDescent="0.35">
      <c r="A5" t="s">
        <v>18</v>
      </c>
    </row>
    <row r="6" spans="1:1" x14ac:dyDescent="0.35">
      <c r="A6" t="s">
        <v>19</v>
      </c>
    </row>
    <row r="7" spans="1:1" x14ac:dyDescent="0.35">
      <c r="A7" t="s">
        <v>20</v>
      </c>
    </row>
    <row r="8" spans="1:1" x14ac:dyDescent="0.35">
      <c r="A8" t="s">
        <v>21</v>
      </c>
    </row>
    <row r="9" spans="1:1" x14ac:dyDescent="0.35">
      <c r="A9" t="s">
        <v>22</v>
      </c>
    </row>
    <row r="10" spans="1:1" x14ac:dyDescent="0.35">
      <c r="A10" t="s">
        <v>23</v>
      </c>
    </row>
    <row r="11" spans="1:1" x14ac:dyDescent="0.35">
      <c r="A11" t="s">
        <v>24</v>
      </c>
    </row>
    <row r="12" spans="1:1" x14ac:dyDescent="0.35">
      <c r="A12" t="s">
        <v>25</v>
      </c>
    </row>
    <row r="13" spans="1:1" x14ac:dyDescent="0.35">
      <c r="A13" t="s">
        <v>26</v>
      </c>
    </row>
    <row r="14" spans="1:1" x14ac:dyDescent="0.35">
      <c r="A14" t="s">
        <v>27</v>
      </c>
    </row>
    <row r="15" spans="1:1" x14ac:dyDescent="0.35">
      <c r="A15" t="s">
        <v>28</v>
      </c>
    </row>
    <row r="16" spans="1:1" x14ac:dyDescent="0.35">
      <c r="A16" t="s">
        <v>29</v>
      </c>
    </row>
    <row r="17" spans="1:1" x14ac:dyDescent="0.35">
      <c r="A17" t="s">
        <v>30</v>
      </c>
    </row>
    <row r="18" spans="1:1" x14ac:dyDescent="0.35">
      <c r="A18" t="s">
        <v>31</v>
      </c>
    </row>
    <row r="19" spans="1:1" x14ac:dyDescent="0.35">
      <c r="A19" t="s">
        <v>32</v>
      </c>
    </row>
    <row r="20" spans="1:1" x14ac:dyDescent="0.35">
      <c r="A20" t="s">
        <v>33</v>
      </c>
    </row>
    <row r="21" spans="1:1" x14ac:dyDescent="0.35">
      <c r="A21" t="s">
        <v>34</v>
      </c>
    </row>
    <row r="22" spans="1:1" x14ac:dyDescent="0.35">
      <c r="A22" t="s">
        <v>35</v>
      </c>
    </row>
    <row r="23" spans="1:1" x14ac:dyDescent="0.35">
      <c r="A23" t="s">
        <v>36</v>
      </c>
    </row>
    <row r="24" spans="1:1" x14ac:dyDescent="0.35">
      <c r="A24" t="s">
        <v>37</v>
      </c>
    </row>
    <row r="25" spans="1:1" x14ac:dyDescent="0.35">
      <c r="A25" t="s">
        <v>38</v>
      </c>
    </row>
    <row r="26" spans="1:1" x14ac:dyDescent="0.35">
      <c r="A26" t="s">
        <v>39</v>
      </c>
    </row>
    <row r="27" spans="1:1" x14ac:dyDescent="0.35">
      <c r="A27" t="s">
        <v>40</v>
      </c>
    </row>
    <row r="28" spans="1:1" x14ac:dyDescent="0.35">
      <c r="A28" t="s">
        <v>41</v>
      </c>
    </row>
    <row r="29" spans="1:1" x14ac:dyDescent="0.35">
      <c r="A29" t="s">
        <v>42</v>
      </c>
    </row>
    <row r="30" spans="1:1" x14ac:dyDescent="0.35">
      <c r="A30" t="s">
        <v>43</v>
      </c>
    </row>
    <row r="31" spans="1:1" x14ac:dyDescent="0.35">
      <c r="A31" t="s">
        <v>44</v>
      </c>
    </row>
    <row r="32" spans="1:1" x14ac:dyDescent="0.35">
      <c r="A32" t="s">
        <v>45</v>
      </c>
    </row>
    <row r="33" spans="1:1" x14ac:dyDescent="0.35">
      <c r="A33" t="s">
        <v>46</v>
      </c>
    </row>
    <row r="34" spans="1:1" x14ac:dyDescent="0.35">
      <c r="A34" t="s">
        <v>47</v>
      </c>
    </row>
    <row r="35" spans="1:1" x14ac:dyDescent="0.35">
      <c r="A35" t="s">
        <v>48</v>
      </c>
    </row>
    <row r="36" spans="1:1" x14ac:dyDescent="0.35">
      <c r="A36" t="s">
        <v>49</v>
      </c>
    </row>
    <row r="37" spans="1:1" x14ac:dyDescent="0.35">
      <c r="A37" t="s">
        <v>50</v>
      </c>
    </row>
    <row r="38" spans="1:1" x14ac:dyDescent="0.35">
      <c r="A38" t="s">
        <v>51</v>
      </c>
    </row>
    <row r="39" spans="1:1" x14ac:dyDescent="0.35">
      <c r="A39" t="s">
        <v>52</v>
      </c>
    </row>
    <row r="40" spans="1:1" x14ac:dyDescent="0.35">
      <c r="A40" t="s">
        <v>53</v>
      </c>
    </row>
    <row r="41" spans="1:1" x14ac:dyDescent="0.35">
      <c r="A41" t="s">
        <v>54</v>
      </c>
    </row>
    <row r="42" spans="1:1" x14ac:dyDescent="0.35">
      <c r="A42" t="s">
        <v>55</v>
      </c>
    </row>
    <row r="43" spans="1:1" x14ac:dyDescent="0.35">
      <c r="A43" t="s">
        <v>56</v>
      </c>
    </row>
    <row r="44" spans="1:1" x14ac:dyDescent="0.35">
      <c r="A44" t="s">
        <v>57</v>
      </c>
    </row>
    <row r="45" spans="1:1" x14ac:dyDescent="0.35">
      <c r="A45" t="s">
        <v>58</v>
      </c>
    </row>
    <row r="46" spans="1:1" x14ac:dyDescent="0.35">
      <c r="A46" t="s">
        <v>59</v>
      </c>
    </row>
    <row r="47" spans="1:1" x14ac:dyDescent="0.35">
      <c r="A47" t="s">
        <v>60</v>
      </c>
    </row>
    <row r="48" spans="1:1" x14ac:dyDescent="0.35">
      <c r="A48" t="s">
        <v>61</v>
      </c>
    </row>
    <row r="49" spans="1:1" x14ac:dyDescent="0.35">
      <c r="A49" t="s">
        <v>62</v>
      </c>
    </row>
    <row r="50" spans="1:1" x14ac:dyDescent="0.35">
      <c r="A50" t="s">
        <v>63</v>
      </c>
    </row>
    <row r="51" spans="1:1" x14ac:dyDescent="0.35">
      <c r="A51" t="s">
        <v>64</v>
      </c>
    </row>
    <row r="52" spans="1:1" x14ac:dyDescent="0.35">
      <c r="A52" t="s">
        <v>65</v>
      </c>
    </row>
    <row r="53" spans="1:1" x14ac:dyDescent="0.35">
      <c r="A53" t="s">
        <v>24</v>
      </c>
    </row>
    <row r="54" spans="1:1" x14ac:dyDescent="0.35">
      <c r="A54" t="s">
        <v>25</v>
      </c>
    </row>
    <row r="55" spans="1:1" x14ac:dyDescent="0.35">
      <c r="A55" t="s">
        <v>26</v>
      </c>
    </row>
    <row r="56" spans="1:1" x14ac:dyDescent="0.35">
      <c r="A56" t="s">
        <v>27</v>
      </c>
    </row>
    <row r="57" spans="1:1" x14ac:dyDescent="0.35">
      <c r="A57" t="s">
        <v>28</v>
      </c>
    </row>
    <row r="58" spans="1:1" x14ac:dyDescent="0.35">
      <c r="A58" t="s">
        <v>29</v>
      </c>
    </row>
    <row r="59" spans="1:1" x14ac:dyDescent="0.35">
      <c r="A59" t="s">
        <v>30</v>
      </c>
    </row>
    <row r="60" spans="1:1" x14ac:dyDescent="0.35">
      <c r="A60" t="s">
        <v>31</v>
      </c>
    </row>
    <row r="61" spans="1:1" x14ac:dyDescent="0.35">
      <c r="A61" t="s">
        <v>32</v>
      </c>
    </row>
    <row r="62" spans="1:1" x14ac:dyDescent="0.35">
      <c r="A62" t="s">
        <v>33</v>
      </c>
    </row>
    <row r="63" spans="1:1" x14ac:dyDescent="0.35">
      <c r="A63" t="s">
        <v>34</v>
      </c>
    </row>
    <row r="64" spans="1:1" x14ac:dyDescent="0.35">
      <c r="A64" t="s">
        <v>35</v>
      </c>
    </row>
    <row r="65" spans="1:1" x14ac:dyDescent="0.35">
      <c r="A65" t="s">
        <v>66</v>
      </c>
    </row>
    <row r="66" spans="1:1" x14ac:dyDescent="0.35">
      <c r="A66" t="s">
        <v>67</v>
      </c>
    </row>
    <row r="67" spans="1:1" x14ac:dyDescent="0.35">
      <c r="A67" t="s">
        <v>68</v>
      </c>
    </row>
    <row r="68" spans="1:1" x14ac:dyDescent="0.35">
      <c r="A68" t="s">
        <v>69</v>
      </c>
    </row>
    <row r="69" spans="1:1" x14ac:dyDescent="0.35">
      <c r="A69" t="s">
        <v>70</v>
      </c>
    </row>
    <row r="70" spans="1:1" x14ac:dyDescent="0.35">
      <c r="A70" t="s">
        <v>71</v>
      </c>
    </row>
    <row r="71" spans="1:1" x14ac:dyDescent="0.35">
      <c r="A71" t="s">
        <v>72</v>
      </c>
    </row>
    <row r="72" spans="1:1" x14ac:dyDescent="0.35">
      <c r="A72" t="s">
        <v>73</v>
      </c>
    </row>
    <row r="73" spans="1:1" x14ac:dyDescent="0.35">
      <c r="A73" t="s">
        <v>74</v>
      </c>
    </row>
    <row r="74" spans="1:1" x14ac:dyDescent="0.35">
      <c r="A74" t="s">
        <v>75</v>
      </c>
    </row>
    <row r="75" spans="1:1" x14ac:dyDescent="0.35">
      <c r="A75" t="s">
        <v>76</v>
      </c>
    </row>
    <row r="76" spans="1:1" x14ac:dyDescent="0.35">
      <c r="A76" t="s">
        <v>77</v>
      </c>
    </row>
    <row r="77" spans="1:1" x14ac:dyDescent="0.35">
      <c r="A77" t="s">
        <v>78</v>
      </c>
    </row>
    <row r="78" spans="1:1" x14ac:dyDescent="0.35">
      <c r="A78" t="s">
        <v>79</v>
      </c>
    </row>
    <row r="79" spans="1:1" x14ac:dyDescent="0.35">
      <c r="A79" t="s">
        <v>80</v>
      </c>
    </row>
    <row r="80" spans="1:1" x14ac:dyDescent="0.35">
      <c r="A80" t="s">
        <v>81</v>
      </c>
    </row>
    <row r="81" spans="1:1" x14ac:dyDescent="0.35">
      <c r="A81" t="s">
        <v>82</v>
      </c>
    </row>
    <row r="82" spans="1:1" x14ac:dyDescent="0.35">
      <c r="A82" t="s">
        <v>83</v>
      </c>
    </row>
    <row r="83" spans="1:1" x14ac:dyDescent="0.35">
      <c r="A83" t="s">
        <v>84</v>
      </c>
    </row>
    <row r="84" spans="1:1" x14ac:dyDescent="0.35">
      <c r="A84" t="s">
        <v>85</v>
      </c>
    </row>
    <row r="85" spans="1:1" x14ac:dyDescent="0.35">
      <c r="A85" t="s">
        <v>86</v>
      </c>
    </row>
    <row r="86" spans="1:1" x14ac:dyDescent="0.35">
      <c r="A86" t="s">
        <v>87</v>
      </c>
    </row>
    <row r="87" spans="1:1" x14ac:dyDescent="0.35">
      <c r="A87" t="s">
        <v>88</v>
      </c>
    </row>
    <row r="88" spans="1:1" x14ac:dyDescent="0.35">
      <c r="A88" t="s">
        <v>89</v>
      </c>
    </row>
    <row r="89" spans="1:1" x14ac:dyDescent="0.35">
      <c r="A89" t="s">
        <v>90</v>
      </c>
    </row>
    <row r="90" spans="1:1" x14ac:dyDescent="0.35">
      <c r="A90" t="s">
        <v>81</v>
      </c>
    </row>
    <row r="91" spans="1:1" x14ac:dyDescent="0.35">
      <c r="A91" t="s">
        <v>91</v>
      </c>
    </row>
    <row r="92" spans="1:1" x14ac:dyDescent="0.35">
      <c r="A92" t="s">
        <v>92</v>
      </c>
    </row>
    <row r="93" spans="1:1" x14ac:dyDescent="0.35">
      <c r="A93" t="s">
        <v>93</v>
      </c>
    </row>
    <row r="94" spans="1:1" x14ac:dyDescent="0.35">
      <c r="A94" t="s">
        <v>94</v>
      </c>
    </row>
    <row r="95" spans="1:1" x14ac:dyDescent="0.35">
      <c r="A95" t="s">
        <v>95</v>
      </c>
    </row>
    <row r="96" spans="1:1" x14ac:dyDescent="0.35">
      <c r="A96" t="s">
        <v>90</v>
      </c>
    </row>
    <row r="97" spans="1:1" x14ac:dyDescent="0.35">
      <c r="A97" t="s">
        <v>96</v>
      </c>
    </row>
    <row r="98" spans="1:1" x14ac:dyDescent="0.35">
      <c r="A98" t="s">
        <v>97</v>
      </c>
    </row>
    <row r="99" spans="1:1" x14ac:dyDescent="0.35">
      <c r="A99" t="s">
        <v>98</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t="s">
        <v>106</v>
      </c>
    </row>
    <row r="108" spans="1:1" x14ac:dyDescent="0.35">
      <c r="A108" t="s">
        <v>107</v>
      </c>
    </row>
    <row r="109" spans="1:1" x14ac:dyDescent="0.35">
      <c r="A109" t="s">
        <v>108</v>
      </c>
    </row>
    <row r="110" spans="1:1" x14ac:dyDescent="0.35">
      <c r="A110" t="s">
        <v>109</v>
      </c>
    </row>
    <row r="111" spans="1:1" x14ac:dyDescent="0.35">
      <c r="A111" t="s">
        <v>110</v>
      </c>
    </row>
    <row r="112" spans="1:1" x14ac:dyDescent="0.35">
      <c r="A112" t="s">
        <v>111</v>
      </c>
    </row>
    <row r="113" spans="1:1" x14ac:dyDescent="0.35">
      <c r="A113" t="s">
        <v>112</v>
      </c>
    </row>
    <row r="114" spans="1:1" x14ac:dyDescent="0.35">
      <c r="A114" t="s">
        <v>113</v>
      </c>
    </row>
    <row r="115" spans="1:1" x14ac:dyDescent="0.35">
      <c r="A115" t="s">
        <v>114</v>
      </c>
    </row>
    <row r="116" spans="1:1" x14ac:dyDescent="0.35">
      <c r="A116" t="s">
        <v>115</v>
      </c>
    </row>
    <row r="117" spans="1:1" x14ac:dyDescent="0.35">
      <c r="A117" t="s">
        <v>111</v>
      </c>
    </row>
    <row r="118" spans="1:1" x14ac:dyDescent="0.35">
      <c r="A118" t="s">
        <v>116</v>
      </c>
    </row>
    <row r="119" spans="1:1" x14ac:dyDescent="0.35">
      <c r="A119" t="s">
        <v>117</v>
      </c>
    </row>
    <row r="120" spans="1:1" x14ac:dyDescent="0.35">
      <c r="A120" t="s">
        <v>118</v>
      </c>
    </row>
    <row r="121" spans="1:1" x14ac:dyDescent="0.35">
      <c r="A121" t="s">
        <v>119</v>
      </c>
    </row>
    <row r="122" spans="1:1" x14ac:dyDescent="0.35">
      <c r="A122" t="s">
        <v>120</v>
      </c>
    </row>
    <row r="123" spans="1:1" x14ac:dyDescent="0.35">
      <c r="A123" t="s">
        <v>121</v>
      </c>
    </row>
    <row r="124" spans="1:1" x14ac:dyDescent="0.35">
      <c r="A124" t="s">
        <v>122</v>
      </c>
    </row>
    <row r="125" spans="1:1" x14ac:dyDescent="0.35">
      <c r="A125" t="s">
        <v>123</v>
      </c>
    </row>
    <row r="126" spans="1:1" x14ac:dyDescent="0.35">
      <c r="A126" t="s">
        <v>124</v>
      </c>
    </row>
    <row r="127" spans="1:1" x14ac:dyDescent="0.35">
      <c r="A127" t="s">
        <v>125</v>
      </c>
    </row>
    <row r="128" spans="1:1" x14ac:dyDescent="0.35">
      <c r="A128" t="s">
        <v>126</v>
      </c>
    </row>
    <row r="129" spans="1:1" x14ac:dyDescent="0.35">
      <c r="A129" t="s">
        <v>127</v>
      </c>
    </row>
    <row r="130" spans="1:1" x14ac:dyDescent="0.35">
      <c r="A130" t="s">
        <v>128</v>
      </c>
    </row>
    <row r="131" spans="1:1" x14ac:dyDescent="0.35">
      <c r="A131" t="s">
        <v>129</v>
      </c>
    </row>
    <row r="132" spans="1:1" x14ac:dyDescent="0.35">
      <c r="A132" t="s">
        <v>130</v>
      </c>
    </row>
    <row r="133" spans="1:1" x14ac:dyDescent="0.35">
      <c r="A133" t="s">
        <v>131</v>
      </c>
    </row>
    <row r="134" spans="1:1" x14ac:dyDescent="0.35">
      <c r="A134" t="s">
        <v>132</v>
      </c>
    </row>
    <row r="135" spans="1:1" x14ac:dyDescent="0.35">
      <c r="A135" t="s">
        <v>133</v>
      </c>
    </row>
    <row r="136" spans="1:1" x14ac:dyDescent="0.35">
      <c r="A136" t="s">
        <v>134</v>
      </c>
    </row>
    <row r="137" spans="1:1" x14ac:dyDescent="0.35">
      <c r="A137" t="s">
        <v>135</v>
      </c>
    </row>
    <row r="138" spans="1:1" x14ac:dyDescent="0.35">
      <c r="A138" t="s">
        <v>136</v>
      </c>
    </row>
    <row r="139" spans="1:1" x14ac:dyDescent="0.35">
      <c r="A139" t="s">
        <v>137</v>
      </c>
    </row>
    <row r="140" spans="1:1" x14ac:dyDescent="0.35">
      <c r="A140" t="s">
        <v>138</v>
      </c>
    </row>
    <row r="141" spans="1:1" x14ac:dyDescent="0.35">
      <c r="A141" t="s">
        <v>139</v>
      </c>
    </row>
    <row r="142" spans="1:1" x14ac:dyDescent="0.35">
      <c r="A142" t="s">
        <v>140</v>
      </c>
    </row>
    <row r="143" spans="1:1" x14ac:dyDescent="0.35">
      <c r="A143" t="s">
        <v>141</v>
      </c>
    </row>
    <row r="144" spans="1:1" x14ac:dyDescent="0.35">
      <c r="A144" t="s">
        <v>142</v>
      </c>
    </row>
    <row r="145" spans="1:1" x14ac:dyDescent="0.35">
      <c r="A145" t="s">
        <v>123</v>
      </c>
    </row>
    <row r="146" spans="1:1" x14ac:dyDescent="0.35">
      <c r="A146" t="s">
        <v>124</v>
      </c>
    </row>
    <row r="147" spans="1:1" x14ac:dyDescent="0.35">
      <c r="A147" t="s">
        <v>125</v>
      </c>
    </row>
    <row r="148" spans="1:1" x14ac:dyDescent="0.35">
      <c r="A148" t="s">
        <v>126</v>
      </c>
    </row>
    <row r="149" spans="1:1" x14ac:dyDescent="0.35">
      <c r="A149" t="s">
        <v>127</v>
      </c>
    </row>
    <row r="150" spans="1:1" x14ac:dyDescent="0.35">
      <c r="A150" t="s">
        <v>128</v>
      </c>
    </row>
    <row r="151" spans="1:1" x14ac:dyDescent="0.35">
      <c r="A151" t="s">
        <v>129</v>
      </c>
    </row>
    <row r="152" spans="1:1" x14ac:dyDescent="0.35">
      <c r="A152" t="s">
        <v>130</v>
      </c>
    </row>
    <row r="153" spans="1:1" x14ac:dyDescent="0.35">
      <c r="A153" t="s">
        <v>131</v>
      </c>
    </row>
    <row r="154" spans="1:1" x14ac:dyDescent="0.35">
      <c r="A154" t="s">
        <v>132</v>
      </c>
    </row>
    <row r="155" spans="1:1" x14ac:dyDescent="0.35">
      <c r="A155" t="s">
        <v>133</v>
      </c>
    </row>
    <row r="156" spans="1:1" x14ac:dyDescent="0.35">
      <c r="A156" t="s">
        <v>134</v>
      </c>
    </row>
    <row r="157" spans="1:1" x14ac:dyDescent="0.35">
      <c r="A157" t="s">
        <v>135</v>
      </c>
    </row>
    <row r="158" spans="1:1" x14ac:dyDescent="0.35">
      <c r="A158" t="s">
        <v>136</v>
      </c>
    </row>
    <row r="159" spans="1:1" x14ac:dyDescent="0.35">
      <c r="A159" t="s">
        <v>137</v>
      </c>
    </row>
    <row r="160" spans="1:1" x14ac:dyDescent="0.35">
      <c r="A160" t="s">
        <v>138</v>
      </c>
    </row>
    <row r="161" spans="1:1" x14ac:dyDescent="0.35">
      <c r="A161" t="s">
        <v>143</v>
      </c>
    </row>
    <row r="162" spans="1:1" x14ac:dyDescent="0.35">
      <c r="A162" t="s">
        <v>144</v>
      </c>
    </row>
    <row r="163" spans="1:1" x14ac:dyDescent="0.35">
      <c r="A163" t="s">
        <v>145</v>
      </c>
    </row>
    <row r="164" spans="1:1" x14ac:dyDescent="0.35">
      <c r="A164" t="s">
        <v>146</v>
      </c>
    </row>
    <row r="165" spans="1:1" x14ac:dyDescent="0.35">
      <c r="A165" t="s">
        <v>147</v>
      </c>
    </row>
    <row r="166" spans="1:1" x14ac:dyDescent="0.35">
      <c r="A166" t="s">
        <v>148</v>
      </c>
    </row>
    <row r="167" spans="1:1" x14ac:dyDescent="0.35">
      <c r="A167" t="s">
        <v>149</v>
      </c>
    </row>
    <row r="168" spans="1:1" x14ac:dyDescent="0.35">
      <c r="A168" t="s">
        <v>150</v>
      </c>
    </row>
    <row r="169" spans="1:1" x14ac:dyDescent="0.35">
      <c r="A169" t="s">
        <v>151</v>
      </c>
    </row>
    <row r="170" spans="1:1" x14ac:dyDescent="0.35">
      <c r="A170" t="s">
        <v>152</v>
      </c>
    </row>
    <row r="171" spans="1:1" x14ac:dyDescent="0.35">
      <c r="A171" t="s">
        <v>153</v>
      </c>
    </row>
    <row r="172" spans="1:1" x14ac:dyDescent="0.35">
      <c r="A172" t="s">
        <v>154</v>
      </c>
    </row>
    <row r="173" spans="1:1" x14ac:dyDescent="0.35">
      <c r="A173" t="s">
        <v>155</v>
      </c>
    </row>
    <row r="174" spans="1:1" x14ac:dyDescent="0.35">
      <c r="A174" t="s">
        <v>156</v>
      </c>
    </row>
    <row r="175" spans="1:1" x14ac:dyDescent="0.35">
      <c r="A175" t="s">
        <v>157</v>
      </c>
    </row>
    <row r="176" spans="1:1" x14ac:dyDescent="0.35">
      <c r="A176" t="s">
        <v>144</v>
      </c>
    </row>
    <row r="177" spans="1:1" x14ac:dyDescent="0.35">
      <c r="A177" t="s">
        <v>145</v>
      </c>
    </row>
    <row r="178" spans="1:1" x14ac:dyDescent="0.35">
      <c r="A178" t="s">
        <v>146</v>
      </c>
    </row>
    <row r="179" spans="1:1" x14ac:dyDescent="0.35">
      <c r="A179" t="s">
        <v>147</v>
      </c>
    </row>
    <row r="180" spans="1:1" x14ac:dyDescent="0.35">
      <c r="A180" t="s">
        <v>158</v>
      </c>
    </row>
    <row r="181" spans="1:1" x14ac:dyDescent="0.35">
      <c r="A181" t="s">
        <v>159</v>
      </c>
    </row>
    <row r="182" spans="1:1" x14ac:dyDescent="0.35">
      <c r="A182" t="s">
        <v>160</v>
      </c>
    </row>
    <row r="183" spans="1:1" x14ac:dyDescent="0.35">
      <c r="A183" t="s">
        <v>161</v>
      </c>
    </row>
    <row r="184" spans="1:1" x14ac:dyDescent="0.35">
      <c r="A184" t="s">
        <v>162</v>
      </c>
    </row>
    <row r="185" spans="1:1" x14ac:dyDescent="0.35">
      <c r="A185" t="s">
        <v>163</v>
      </c>
    </row>
    <row r="186" spans="1:1" x14ac:dyDescent="0.35">
      <c r="A186" t="s">
        <v>164</v>
      </c>
    </row>
    <row r="187" spans="1:1" x14ac:dyDescent="0.35">
      <c r="A187" t="s">
        <v>165</v>
      </c>
    </row>
    <row r="188" spans="1:1" x14ac:dyDescent="0.35">
      <c r="A188" t="s">
        <v>166</v>
      </c>
    </row>
    <row r="189" spans="1:1" x14ac:dyDescent="0.35">
      <c r="A189" t="s">
        <v>167</v>
      </c>
    </row>
    <row r="190" spans="1:1" x14ac:dyDescent="0.35">
      <c r="A190" t="s">
        <v>168</v>
      </c>
    </row>
    <row r="191" spans="1:1" x14ac:dyDescent="0.35">
      <c r="A191" t="s">
        <v>169</v>
      </c>
    </row>
    <row r="192" spans="1:1" x14ac:dyDescent="0.35">
      <c r="A192" t="s">
        <v>162</v>
      </c>
    </row>
    <row r="193" spans="1:1" x14ac:dyDescent="0.35">
      <c r="A193" t="s">
        <v>163</v>
      </c>
    </row>
    <row r="194" spans="1:1" x14ac:dyDescent="0.35">
      <c r="A194" t="s">
        <v>170</v>
      </c>
    </row>
    <row r="195" spans="1:1" x14ac:dyDescent="0.35">
      <c r="A195" t="s">
        <v>171</v>
      </c>
    </row>
    <row r="196" spans="1:1" x14ac:dyDescent="0.35">
      <c r="A196" t="s">
        <v>172</v>
      </c>
    </row>
    <row r="197" spans="1:1" x14ac:dyDescent="0.35">
      <c r="A197" t="s">
        <v>173</v>
      </c>
    </row>
    <row r="198" spans="1:1" x14ac:dyDescent="0.35">
      <c r="A198" t="s">
        <v>174</v>
      </c>
    </row>
    <row r="199" spans="1:1" x14ac:dyDescent="0.35">
      <c r="A199" t="s">
        <v>175</v>
      </c>
    </row>
    <row r="200" spans="1:1" x14ac:dyDescent="0.35">
      <c r="A200" t="s">
        <v>176</v>
      </c>
    </row>
    <row r="201" spans="1:1" x14ac:dyDescent="0.35">
      <c r="A201" t="s">
        <v>177</v>
      </c>
    </row>
    <row r="202" spans="1:1" x14ac:dyDescent="0.35">
      <c r="A202" t="s">
        <v>178</v>
      </c>
    </row>
    <row r="203" spans="1:1" x14ac:dyDescent="0.35">
      <c r="A203" t="s">
        <v>179</v>
      </c>
    </row>
    <row r="204" spans="1:1" x14ac:dyDescent="0.35">
      <c r="A204" t="s">
        <v>180</v>
      </c>
    </row>
    <row r="205" spans="1:1" x14ac:dyDescent="0.35">
      <c r="A205" t="s">
        <v>181</v>
      </c>
    </row>
    <row r="206" spans="1:1" x14ac:dyDescent="0.35">
      <c r="A206" t="s">
        <v>182</v>
      </c>
    </row>
    <row r="207" spans="1:1" x14ac:dyDescent="0.35">
      <c r="A207" t="s">
        <v>183</v>
      </c>
    </row>
    <row r="208" spans="1:1" x14ac:dyDescent="0.35">
      <c r="A208" t="s">
        <v>184</v>
      </c>
    </row>
    <row r="209" spans="1:1" x14ac:dyDescent="0.35">
      <c r="A209" t="s">
        <v>185</v>
      </c>
    </row>
    <row r="210" spans="1:1" x14ac:dyDescent="0.35">
      <c r="A210" t="s">
        <v>186</v>
      </c>
    </row>
    <row r="211" spans="1:1" x14ac:dyDescent="0.35">
      <c r="A211" t="s">
        <v>187</v>
      </c>
    </row>
    <row r="212" spans="1:1" x14ac:dyDescent="0.35">
      <c r="A212" t="s">
        <v>188</v>
      </c>
    </row>
    <row r="213" spans="1:1" x14ac:dyDescent="0.35">
      <c r="A213" t="s">
        <v>189</v>
      </c>
    </row>
    <row r="214" spans="1:1" x14ac:dyDescent="0.35">
      <c r="A214" t="s">
        <v>190</v>
      </c>
    </row>
    <row r="215" spans="1:1" x14ac:dyDescent="0.35">
      <c r="A215" t="s">
        <v>180</v>
      </c>
    </row>
    <row r="216" spans="1:1" x14ac:dyDescent="0.35">
      <c r="A216" t="s">
        <v>181</v>
      </c>
    </row>
    <row r="217" spans="1:1" x14ac:dyDescent="0.35">
      <c r="A217" t="s">
        <v>182</v>
      </c>
    </row>
    <row r="218" spans="1:1" x14ac:dyDescent="0.35">
      <c r="A218" t="s">
        <v>183</v>
      </c>
    </row>
    <row r="219" spans="1:1" x14ac:dyDescent="0.35">
      <c r="A219" t="s">
        <v>191</v>
      </c>
    </row>
    <row r="220" spans="1:1" x14ac:dyDescent="0.35">
      <c r="A220" t="s">
        <v>192</v>
      </c>
    </row>
    <row r="221" spans="1:1" x14ac:dyDescent="0.35">
      <c r="A221" t="s">
        <v>193</v>
      </c>
    </row>
    <row r="222" spans="1:1" x14ac:dyDescent="0.35">
      <c r="A222" t="s">
        <v>194</v>
      </c>
    </row>
    <row r="223" spans="1:1" x14ac:dyDescent="0.35">
      <c r="A223" t="s">
        <v>195</v>
      </c>
    </row>
    <row r="224" spans="1:1" x14ac:dyDescent="0.35">
      <c r="A224" t="s">
        <v>193</v>
      </c>
    </row>
    <row r="225" spans="1:1" x14ac:dyDescent="0.35">
      <c r="A225" t="s">
        <v>196</v>
      </c>
    </row>
    <row r="226" spans="1:1" x14ac:dyDescent="0.35">
      <c r="A226" t="s">
        <v>197</v>
      </c>
    </row>
    <row r="227" spans="1:1" x14ac:dyDescent="0.35">
      <c r="A227" t="s">
        <v>198</v>
      </c>
    </row>
    <row r="228" spans="1:1" x14ac:dyDescent="0.35">
      <c r="A228" t="s">
        <v>199</v>
      </c>
    </row>
    <row r="229" spans="1:1" x14ac:dyDescent="0.35">
      <c r="A229" t="s">
        <v>200</v>
      </c>
    </row>
    <row r="230" spans="1:1" x14ac:dyDescent="0.35">
      <c r="A230" t="s">
        <v>201</v>
      </c>
    </row>
    <row r="231" spans="1:1" x14ac:dyDescent="0.35">
      <c r="A231" t="s">
        <v>202</v>
      </c>
    </row>
    <row r="232" spans="1:1" x14ac:dyDescent="0.35">
      <c r="A232" t="s">
        <v>203</v>
      </c>
    </row>
    <row r="233" spans="1:1" x14ac:dyDescent="0.35">
      <c r="A233" t="s">
        <v>204</v>
      </c>
    </row>
    <row r="234" spans="1:1" x14ac:dyDescent="0.35">
      <c r="A234" t="s">
        <v>205</v>
      </c>
    </row>
    <row r="235" spans="1:1" x14ac:dyDescent="0.35">
      <c r="A235" t="s">
        <v>206</v>
      </c>
    </row>
    <row r="236" spans="1:1" x14ac:dyDescent="0.35">
      <c r="A236" t="s">
        <v>207</v>
      </c>
    </row>
    <row r="237" spans="1:1" x14ac:dyDescent="0.35">
      <c r="A237" t="s">
        <v>208</v>
      </c>
    </row>
    <row r="238" spans="1:1" x14ac:dyDescent="0.35">
      <c r="A238" t="s">
        <v>209</v>
      </c>
    </row>
    <row r="239" spans="1:1" x14ac:dyDescent="0.35">
      <c r="A239" t="s">
        <v>204</v>
      </c>
    </row>
    <row r="240" spans="1:1" x14ac:dyDescent="0.35">
      <c r="A240" t="s">
        <v>205</v>
      </c>
    </row>
    <row r="241" spans="1:1" x14ac:dyDescent="0.35">
      <c r="A241" t="s">
        <v>210</v>
      </c>
    </row>
    <row r="242" spans="1:1" x14ac:dyDescent="0.35">
      <c r="A242" t="s">
        <v>211</v>
      </c>
    </row>
    <row r="243" spans="1:1" x14ac:dyDescent="0.35">
      <c r="A243" t="s">
        <v>212</v>
      </c>
    </row>
    <row r="244" spans="1:1" x14ac:dyDescent="0.35">
      <c r="A244" t="s">
        <v>213</v>
      </c>
    </row>
    <row r="245" spans="1:1" x14ac:dyDescent="0.35">
      <c r="A245" t="s">
        <v>214</v>
      </c>
    </row>
    <row r="246" spans="1:1" x14ac:dyDescent="0.35">
      <c r="A246" t="s">
        <v>215</v>
      </c>
    </row>
    <row r="247" spans="1:1" x14ac:dyDescent="0.35">
      <c r="A247" t="s">
        <v>216</v>
      </c>
    </row>
    <row r="248" spans="1:1" x14ac:dyDescent="0.35">
      <c r="A248" t="s">
        <v>217</v>
      </c>
    </row>
    <row r="249" spans="1:1" x14ac:dyDescent="0.35">
      <c r="A249" t="s">
        <v>218</v>
      </c>
    </row>
    <row r="250" spans="1:1" x14ac:dyDescent="0.35">
      <c r="A250" t="s">
        <v>219</v>
      </c>
    </row>
    <row r="251" spans="1:1" x14ac:dyDescent="0.35">
      <c r="A251" t="s">
        <v>220</v>
      </c>
    </row>
    <row r="252" spans="1:1" x14ac:dyDescent="0.35">
      <c r="A252" t="s">
        <v>221</v>
      </c>
    </row>
    <row r="253" spans="1:1" x14ac:dyDescent="0.35">
      <c r="A253" t="s">
        <v>222</v>
      </c>
    </row>
    <row r="254" spans="1:1" x14ac:dyDescent="0.35">
      <c r="A254" t="s">
        <v>223</v>
      </c>
    </row>
    <row r="255" spans="1:1" x14ac:dyDescent="0.35">
      <c r="A255" t="s">
        <v>224</v>
      </c>
    </row>
    <row r="256" spans="1:1" x14ac:dyDescent="0.35">
      <c r="A256" t="s">
        <v>225</v>
      </c>
    </row>
    <row r="257" spans="1:1" x14ac:dyDescent="0.35">
      <c r="A257" t="s">
        <v>226</v>
      </c>
    </row>
    <row r="258" spans="1:1" x14ac:dyDescent="0.35">
      <c r="A258" t="s">
        <v>227</v>
      </c>
    </row>
    <row r="259" spans="1:1" x14ac:dyDescent="0.35">
      <c r="A259" t="s">
        <v>228</v>
      </c>
    </row>
    <row r="260" spans="1:1" x14ac:dyDescent="0.35">
      <c r="A260" t="s">
        <v>229</v>
      </c>
    </row>
    <row r="261" spans="1:1" x14ac:dyDescent="0.35">
      <c r="A261" t="s">
        <v>230</v>
      </c>
    </row>
    <row r="262" spans="1:1" x14ac:dyDescent="0.35">
      <c r="A262" t="s">
        <v>231</v>
      </c>
    </row>
    <row r="263" spans="1:1" x14ac:dyDescent="0.35">
      <c r="A263" t="s">
        <v>232</v>
      </c>
    </row>
    <row r="264" spans="1:1" x14ac:dyDescent="0.35">
      <c r="A264" t="s">
        <v>223</v>
      </c>
    </row>
    <row r="265" spans="1:1" x14ac:dyDescent="0.35">
      <c r="A265" t="s">
        <v>224</v>
      </c>
    </row>
    <row r="266" spans="1:1" x14ac:dyDescent="0.35">
      <c r="A266" t="s">
        <v>225</v>
      </c>
    </row>
    <row r="267" spans="1:1" x14ac:dyDescent="0.35">
      <c r="A267" t="s">
        <v>226</v>
      </c>
    </row>
    <row r="268" spans="1:1" x14ac:dyDescent="0.35">
      <c r="A268" t="s">
        <v>227</v>
      </c>
    </row>
    <row r="269" spans="1:1" x14ac:dyDescent="0.35">
      <c r="A269" t="s">
        <v>228</v>
      </c>
    </row>
    <row r="270" spans="1:1" x14ac:dyDescent="0.35">
      <c r="A270" t="s">
        <v>229</v>
      </c>
    </row>
    <row r="271" spans="1:1" x14ac:dyDescent="0.35">
      <c r="A271" t="s">
        <v>230</v>
      </c>
    </row>
    <row r="272" spans="1:1" x14ac:dyDescent="0.35">
      <c r="A272" t="s">
        <v>231</v>
      </c>
    </row>
    <row r="273" spans="1:1" x14ac:dyDescent="0.35">
      <c r="A273" t="s">
        <v>233</v>
      </c>
    </row>
    <row r="274" spans="1:1" x14ac:dyDescent="0.35">
      <c r="A274" t="s">
        <v>234</v>
      </c>
    </row>
    <row r="275" spans="1:1" x14ac:dyDescent="0.35">
      <c r="A275" t="s">
        <v>235</v>
      </c>
    </row>
    <row r="276" spans="1:1" x14ac:dyDescent="0.35">
      <c r="A276" t="s">
        <v>236</v>
      </c>
    </row>
    <row r="277" spans="1:1" x14ac:dyDescent="0.35">
      <c r="A277" t="s">
        <v>237</v>
      </c>
    </row>
    <row r="278" spans="1:1" x14ac:dyDescent="0.35">
      <c r="A278" t="s">
        <v>238</v>
      </c>
    </row>
    <row r="279" spans="1:1" x14ac:dyDescent="0.35">
      <c r="A279" t="s">
        <v>234</v>
      </c>
    </row>
    <row r="280" spans="1:1" x14ac:dyDescent="0.35">
      <c r="A280" t="s">
        <v>235</v>
      </c>
    </row>
    <row r="281" spans="1:1" x14ac:dyDescent="0.35">
      <c r="A281" t="s">
        <v>239</v>
      </c>
    </row>
    <row r="282" spans="1:1" x14ac:dyDescent="0.35">
      <c r="A282" t="s">
        <v>240</v>
      </c>
    </row>
    <row r="283" spans="1:1" x14ac:dyDescent="0.35">
      <c r="A283" t="s">
        <v>241</v>
      </c>
    </row>
    <row r="284" spans="1:1" x14ac:dyDescent="0.35">
      <c r="A284" t="s">
        <v>242</v>
      </c>
    </row>
    <row r="285" spans="1:1" x14ac:dyDescent="0.35">
      <c r="A285" t="s">
        <v>243</v>
      </c>
    </row>
    <row r="286" spans="1:1" x14ac:dyDescent="0.35">
      <c r="A286" t="s">
        <v>244</v>
      </c>
    </row>
    <row r="287" spans="1:1" x14ac:dyDescent="0.35">
      <c r="A287" t="s">
        <v>245</v>
      </c>
    </row>
    <row r="288" spans="1:1" x14ac:dyDescent="0.35">
      <c r="A288" t="s">
        <v>246</v>
      </c>
    </row>
    <row r="289" spans="1:1" x14ac:dyDescent="0.35">
      <c r="A289" t="s">
        <v>242</v>
      </c>
    </row>
    <row r="290" spans="1:1" x14ac:dyDescent="0.35">
      <c r="A290" t="s">
        <v>243</v>
      </c>
    </row>
    <row r="291" spans="1:1" x14ac:dyDescent="0.35">
      <c r="A291" t="s">
        <v>247</v>
      </c>
    </row>
    <row r="292" spans="1:1" x14ac:dyDescent="0.35">
      <c r="A292" t="s">
        <v>248</v>
      </c>
    </row>
    <row r="293" spans="1:1" x14ac:dyDescent="0.35">
      <c r="A293" t="s">
        <v>249</v>
      </c>
    </row>
    <row r="294" spans="1:1" x14ac:dyDescent="0.35">
      <c r="A294" t="s">
        <v>250</v>
      </c>
    </row>
    <row r="295" spans="1:1" x14ac:dyDescent="0.35">
      <c r="A295" t="s">
        <v>251</v>
      </c>
    </row>
    <row r="296" spans="1:1" x14ac:dyDescent="0.35">
      <c r="A296" t="s">
        <v>252</v>
      </c>
    </row>
    <row r="297" spans="1:1" x14ac:dyDescent="0.35">
      <c r="A297" t="s">
        <v>253</v>
      </c>
    </row>
    <row r="298" spans="1:1" x14ac:dyDescent="0.35">
      <c r="A298" t="s">
        <v>254</v>
      </c>
    </row>
    <row r="299" spans="1:1" x14ac:dyDescent="0.35">
      <c r="A299" t="s">
        <v>255</v>
      </c>
    </row>
    <row r="300" spans="1:1" x14ac:dyDescent="0.35">
      <c r="A300" t="s">
        <v>256</v>
      </c>
    </row>
    <row r="301" spans="1:1" x14ac:dyDescent="0.35">
      <c r="A301" t="s">
        <v>257</v>
      </c>
    </row>
    <row r="302" spans="1:1" x14ac:dyDescent="0.35">
      <c r="A302" t="s">
        <v>258</v>
      </c>
    </row>
    <row r="303" spans="1:1" x14ac:dyDescent="0.35">
      <c r="A303" t="s">
        <v>259</v>
      </c>
    </row>
    <row r="304" spans="1:1" x14ac:dyDescent="0.35">
      <c r="A304" t="s">
        <v>260</v>
      </c>
    </row>
    <row r="305" spans="1:1" x14ac:dyDescent="0.35">
      <c r="A305" t="s">
        <v>261</v>
      </c>
    </row>
    <row r="306" spans="1:1" x14ac:dyDescent="0.35">
      <c r="A306" t="s">
        <v>251</v>
      </c>
    </row>
    <row r="307" spans="1:1" x14ac:dyDescent="0.35">
      <c r="A307" t="s">
        <v>252</v>
      </c>
    </row>
    <row r="308" spans="1:1" x14ac:dyDescent="0.35">
      <c r="A308" t="s">
        <v>262</v>
      </c>
    </row>
    <row r="309" spans="1:1" x14ac:dyDescent="0.35">
      <c r="A309" t="s">
        <v>263</v>
      </c>
    </row>
    <row r="310" spans="1:1" x14ac:dyDescent="0.35">
      <c r="A310" t="s">
        <v>264</v>
      </c>
    </row>
    <row r="311" spans="1:1" x14ac:dyDescent="0.35">
      <c r="A311" t="s">
        <v>265</v>
      </c>
    </row>
    <row r="312" spans="1:1" x14ac:dyDescent="0.35">
      <c r="A312" t="s">
        <v>266</v>
      </c>
    </row>
    <row r="313" spans="1:1" x14ac:dyDescent="0.35">
      <c r="A313" t="s">
        <v>267</v>
      </c>
    </row>
    <row r="314" spans="1:1" x14ac:dyDescent="0.35">
      <c r="A314" t="s">
        <v>268</v>
      </c>
    </row>
    <row r="315" spans="1:1" x14ac:dyDescent="0.35">
      <c r="A315" t="s">
        <v>269</v>
      </c>
    </row>
    <row r="316" spans="1:1" x14ac:dyDescent="0.35">
      <c r="A316" t="s">
        <v>270</v>
      </c>
    </row>
    <row r="317" spans="1:1" x14ac:dyDescent="0.35">
      <c r="A317" t="s">
        <v>271</v>
      </c>
    </row>
    <row r="318" spans="1:1" x14ac:dyDescent="0.35">
      <c r="A318" t="s">
        <v>272</v>
      </c>
    </row>
    <row r="319" spans="1:1" x14ac:dyDescent="0.35">
      <c r="A319" t="s">
        <v>273</v>
      </c>
    </row>
    <row r="320" spans="1:1" x14ac:dyDescent="0.35">
      <c r="A320" t="s">
        <v>274</v>
      </c>
    </row>
    <row r="321" spans="1:1" x14ac:dyDescent="0.35">
      <c r="A321" t="s">
        <v>272</v>
      </c>
    </row>
    <row r="322" spans="1:1" x14ac:dyDescent="0.35">
      <c r="A322" t="s">
        <v>273</v>
      </c>
    </row>
    <row r="323" spans="1:1" x14ac:dyDescent="0.35">
      <c r="A323" t="s">
        <v>275</v>
      </c>
    </row>
    <row r="324" spans="1:1" x14ac:dyDescent="0.35">
      <c r="A324" t="s">
        <v>276</v>
      </c>
    </row>
    <row r="325" spans="1:1" x14ac:dyDescent="0.35">
      <c r="A325" t="s">
        <v>277</v>
      </c>
    </row>
    <row r="326" spans="1:1" x14ac:dyDescent="0.35">
      <c r="A326" t="s">
        <v>278</v>
      </c>
    </row>
    <row r="327" spans="1:1" x14ac:dyDescent="0.35">
      <c r="A327" t="s">
        <v>279</v>
      </c>
    </row>
    <row r="328" spans="1:1" x14ac:dyDescent="0.35">
      <c r="A328" t="s">
        <v>280</v>
      </c>
    </row>
    <row r="329" spans="1:1" x14ac:dyDescent="0.35">
      <c r="A329" t="s">
        <v>281</v>
      </c>
    </row>
    <row r="330" spans="1:1" x14ac:dyDescent="0.35">
      <c r="A330" t="s">
        <v>282</v>
      </c>
    </row>
    <row r="331" spans="1:1" x14ac:dyDescent="0.35">
      <c r="A331" t="s">
        <v>283</v>
      </c>
    </row>
    <row r="332" spans="1:1" x14ac:dyDescent="0.35">
      <c r="A332" t="s">
        <v>278</v>
      </c>
    </row>
    <row r="333" spans="1:1" x14ac:dyDescent="0.35">
      <c r="A333" t="s">
        <v>284</v>
      </c>
    </row>
    <row r="334" spans="1:1" x14ac:dyDescent="0.35">
      <c r="A334" t="s">
        <v>285</v>
      </c>
    </row>
    <row r="335" spans="1:1" x14ac:dyDescent="0.35">
      <c r="A335" t="s">
        <v>286</v>
      </c>
    </row>
    <row r="336" spans="1:1" x14ac:dyDescent="0.35">
      <c r="A336" t="s">
        <v>287</v>
      </c>
    </row>
    <row r="337" spans="1:1" x14ac:dyDescent="0.35">
      <c r="A337" t="s">
        <v>288</v>
      </c>
    </row>
    <row r="338" spans="1:1" x14ac:dyDescent="0.35">
      <c r="A338" t="s">
        <v>289</v>
      </c>
    </row>
    <row r="339" spans="1:1" x14ac:dyDescent="0.35">
      <c r="A339" t="s">
        <v>285</v>
      </c>
    </row>
    <row r="340" spans="1:1" x14ac:dyDescent="0.35">
      <c r="A340" t="s">
        <v>290</v>
      </c>
    </row>
    <row r="341" spans="1:1" x14ac:dyDescent="0.35">
      <c r="A341" t="s">
        <v>291</v>
      </c>
    </row>
    <row r="342" spans="1:1" x14ac:dyDescent="0.35">
      <c r="A342" t="s">
        <v>292</v>
      </c>
    </row>
    <row r="343" spans="1:1" x14ac:dyDescent="0.35">
      <c r="A343" t="s">
        <v>293</v>
      </c>
    </row>
    <row r="344" spans="1:1" x14ac:dyDescent="0.35">
      <c r="A344" t="s">
        <v>294</v>
      </c>
    </row>
    <row r="345" spans="1:1" x14ac:dyDescent="0.35">
      <c r="A345" t="s">
        <v>295</v>
      </c>
    </row>
    <row r="346" spans="1:1" x14ac:dyDescent="0.35">
      <c r="A346" t="s">
        <v>296</v>
      </c>
    </row>
    <row r="347" spans="1:1" x14ac:dyDescent="0.35">
      <c r="A347" t="s">
        <v>297</v>
      </c>
    </row>
    <row r="348" spans="1:1" x14ac:dyDescent="0.35">
      <c r="A348" t="s">
        <v>298</v>
      </c>
    </row>
    <row r="349" spans="1:1" x14ac:dyDescent="0.35">
      <c r="A349" t="s">
        <v>299</v>
      </c>
    </row>
    <row r="350" spans="1:1" x14ac:dyDescent="0.35">
      <c r="A350" t="s">
        <v>300</v>
      </c>
    </row>
    <row r="351" spans="1:1" x14ac:dyDescent="0.35">
      <c r="A351" t="s">
        <v>301</v>
      </c>
    </row>
    <row r="352" spans="1:1" x14ac:dyDescent="0.35">
      <c r="A352" t="s">
        <v>302</v>
      </c>
    </row>
    <row r="353" spans="1:1" x14ac:dyDescent="0.35">
      <c r="A353" t="s">
        <v>303</v>
      </c>
    </row>
    <row r="354" spans="1:1" x14ac:dyDescent="0.35">
      <c r="A354" t="s">
        <v>304</v>
      </c>
    </row>
    <row r="355" spans="1:1" x14ac:dyDescent="0.35">
      <c r="A355" t="s">
        <v>305</v>
      </c>
    </row>
    <row r="356" spans="1:1" x14ac:dyDescent="0.35">
      <c r="A356" t="s">
        <v>306</v>
      </c>
    </row>
    <row r="357" spans="1:1" x14ac:dyDescent="0.35">
      <c r="A357" t="s">
        <v>307</v>
      </c>
    </row>
    <row r="358" spans="1:1" x14ac:dyDescent="0.35">
      <c r="A358" t="s">
        <v>308</v>
      </c>
    </row>
    <row r="359" spans="1:1" x14ac:dyDescent="0.35">
      <c r="A359" t="s">
        <v>309</v>
      </c>
    </row>
    <row r="360" spans="1:1" x14ac:dyDescent="0.35">
      <c r="A360" t="s">
        <v>310</v>
      </c>
    </row>
    <row r="361" spans="1:1" x14ac:dyDescent="0.35">
      <c r="A361" t="s">
        <v>307</v>
      </c>
    </row>
    <row r="362" spans="1:1" x14ac:dyDescent="0.35">
      <c r="A362" t="s">
        <v>308</v>
      </c>
    </row>
    <row r="363" spans="1:1" x14ac:dyDescent="0.35">
      <c r="A363" t="s">
        <v>311</v>
      </c>
    </row>
    <row r="364" spans="1:1" x14ac:dyDescent="0.35">
      <c r="A364" t="s">
        <v>312</v>
      </c>
    </row>
    <row r="365" spans="1:1" x14ac:dyDescent="0.35">
      <c r="A365" t="s">
        <v>313</v>
      </c>
    </row>
    <row r="366" spans="1:1" x14ac:dyDescent="0.35">
      <c r="A366" t="s">
        <v>314</v>
      </c>
    </row>
    <row r="367" spans="1:1" x14ac:dyDescent="0.35">
      <c r="A367" t="s">
        <v>315</v>
      </c>
    </row>
    <row r="368" spans="1:1" x14ac:dyDescent="0.35">
      <c r="A368" t="s">
        <v>316</v>
      </c>
    </row>
    <row r="369" spans="1:1" x14ac:dyDescent="0.35">
      <c r="A369" t="s">
        <v>317</v>
      </c>
    </row>
    <row r="370" spans="1:1" x14ac:dyDescent="0.35">
      <c r="A370" t="s">
        <v>318</v>
      </c>
    </row>
    <row r="371" spans="1:1" x14ac:dyDescent="0.35">
      <c r="A371" t="s">
        <v>319</v>
      </c>
    </row>
    <row r="372" spans="1:1" x14ac:dyDescent="0.35">
      <c r="A372" t="s">
        <v>320</v>
      </c>
    </row>
    <row r="373" spans="1:1" x14ac:dyDescent="0.35">
      <c r="A373" t="s">
        <v>321</v>
      </c>
    </row>
    <row r="374" spans="1:1" x14ac:dyDescent="0.35">
      <c r="A374" t="s">
        <v>322</v>
      </c>
    </row>
    <row r="375" spans="1:1" x14ac:dyDescent="0.35">
      <c r="A375" t="s">
        <v>323</v>
      </c>
    </row>
    <row r="376" spans="1:1" x14ac:dyDescent="0.35">
      <c r="A376" t="s">
        <v>324</v>
      </c>
    </row>
    <row r="377" spans="1:1" x14ac:dyDescent="0.35">
      <c r="A377" t="s">
        <v>325</v>
      </c>
    </row>
    <row r="378" spans="1:1" x14ac:dyDescent="0.35">
      <c r="A378" t="s">
        <v>326</v>
      </c>
    </row>
    <row r="379" spans="1:1" x14ac:dyDescent="0.35">
      <c r="A379" t="s">
        <v>327</v>
      </c>
    </row>
    <row r="380" spans="1:1" x14ac:dyDescent="0.35">
      <c r="A380" t="s">
        <v>328</v>
      </c>
    </row>
    <row r="381" spans="1:1" x14ac:dyDescent="0.35">
      <c r="A381" t="s">
        <v>329</v>
      </c>
    </row>
    <row r="382" spans="1:1" x14ac:dyDescent="0.35">
      <c r="A382" t="s">
        <v>330</v>
      </c>
    </row>
    <row r="383" spans="1:1" x14ac:dyDescent="0.35">
      <c r="A383" t="s">
        <v>331</v>
      </c>
    </row>
    <row r="384" spans="1:1" x14ac:dyDescent="0.35">
      <c r="A384" t="s">
        <v>332</v>
      </c>
    </row>
    <row r="385" spans="1:1" x14ac:dyDescent="0.35">
      <c r="A385" t="s">
        <v>333</v>
      </c>
    </row>
    <row r="386" spans="1:1" x14ac:dyDescent="0.35">
      <c r="A386" t="s">
        <v>334</v>
      </c>
    </row>
    <row r="387" spans="1:1" x14ac:dyDescent="0.35">
      <c r="A387" t="s">
        <v>335</v>
      </c>
    </row>
    <row r="388" spans="1:1" x14ac:dyDescent="0.35">
      <c r="A388" t="s">
        <v>316</v>
      </c>
    </row>
    <row r="389" spans="1:1" x14ac:dyDescent="0.35">
      <c r="A389" t="s">
        <v>317</v>
      </c>
    </row>
    <row r="390" spans="1:1" x14ac:dyDescent="0.35">
      <c r="A390" t="s">
        <v>318</v>
      </c>
    </row>
    <row r="391" spans="1:1" x14ac:dyDescent="0.35">
      <c r="A391" t="s">
        <v>336</v>
      </c>
    </row>
    <row r="392" spans="1:1" x14ac:dyDescent="0.35">
      <c r="A392" t="s">
        <v>337</v>
      </c>
    </row>
    <row r="393" spans="1:1" x14ac:dyDescent="0.35">
      <c r="A393" t="s">
        <v>338</v>
      </c>
    </row>
    <row r="394" spans="1:1" x14ac:dyDescent="0.35">
      <c r="A394" t="s">
        <v>339</v>
      </c>
    </row>
    <row r="395" spans="1:1" x14ac:dyDescent="0.35">
      <c r="A395" t="s">
        <v>340</v>
      </c>
    </row>
    <row r="396" spans="1:1" x14ac:dyDescent="0.35">
      <c r="A396" t="s">
        <v>341</v>
      </c>
    </row>
    <row r="397" spans="1:1" x14ac:dyDescent="0.35">
      <c r="A397" t="s">
        <v>342</v>
      </c>
    </row>
    <row r="398" spans="1:1" x14ac:dyDescent="0.35">
      <c r="A398" t="s">
        <v>343</v>
      </c>
    </row>
    <row r="399" spans="1:1" x14ac:dyDescent="0.35">
      <c r="A399" t="s">
        <v>344</v>
      </c>
    </row>
    <row r="400" spans="1:1" x14ac:dyDescent="0.35">
      <c r="A400" t="s">
        <v>345</v>
      </c>
    </row>
    <row r="401" spans="1:1" x14ac:dyDescent="0.35">
      <c r="A401" t="s">
        <v>346</v>
      </c>
    </row>
    <row r="402" spans="1:1" x14ac:dyDescent="0.35">
      <c r="A402" t="s">
        <v>347</v>
      </c>
    </row>
    <row r="403" spans="1:1" x14ac:dyDescent="0.35">
      <c r="A403" t="s">
        <v>348</v>
      </c>
    </row>
    <row r="404" spans="1:1" x14ac:dyDescent="0.35">
      <c r="A404" t="s">
        <v>349</v>
      </c>
    </row>
    <row r="405" spans="1:1" x14ac:dyDescent="0.35">
      <c r="A405" t="s">
        <v>350</v>
      </c>
    </row>
    <row r="406" spans="1:1" x14ac:dyDescent="0.35">
      <c r="A406" t="s">
        <v>351</v>
      </c>
    </row>
    <row r="407" spans="1:1" x14ac:dyDescent="0.35">
      <c r="A407" t="s">
        <v>352</v>
      </c>
    </row>
    <row r="408" spans="1:1" x14ac:dyDescent="0.35">
      <c r="A408" t="s">
        <v>353</v>
      </c>
    </row>
    <row r="409" spans="1:1" x14ac:dyDescent="0.35">
      <c r="A409" t="s">
        <v>354</v>
      </c>
    </row>
    <row r="410" spans="1:1" x14ac:dyDescent="0.35">
      <c r="A410" t="s">
        <v>355</v>
      </c>
    </row>
    <row r="411" spans="1:1" x14ac:dyDescent="0.35">
      <c r="A411" t="s">
        <v>356</v>
      </c>
    </row>
    <row r="412" spans="1:1" x14ac:dyDescent="0.35">
      <c r="A412" t="s">
        <v>357</v>
      </c>
    </row>
    <row r="413" spans="1:1" x14ac:dyDescent="0.35">
      <c r="A413" t="s">
        <v>358</v>
      </c>
    </row>
    <row r="414" spans="1:1" x14ac:dyDescent="0.35">
      <c r="A414" t="s">
        <v>359</v>
      </c>
    </row>
    <row r="415" spans="1:1" x14ac:dyDescent="0.35">
      <c r="A415" t="s">
        <v>360</v>
      </c>
    </row>
    <row r="416" spans="1:1" x14ac:dyDescent="0.35">
      <c r="A416" t="s">
        <v>361</v>
      </c>
    </row>
    <row r="417" spans="1:1" x14ac:dyDescent="0.35">
      <c r="A417" t="s">
        <v>362</v>
      </c>
    </row>
    <row r="418" spans="1:1" x14ac:dyDescent="0.35">
      <c r="A418" t="s">
        <v>363</v>
      </c>
    </row>
    <row r="419" spans="1:1" x14ac:dyDescent="0.35">
      <c r="A419" t="s">
        <v>360</v>
      </c>
    </row>
    <row r="420" spans="1:1" x14ac:dyDescent="0.35">
      <c r="A420" t="s">
        <v>361</v>
      </c>
    </row>
    <row r="421" spans="1:1" x14ac:dyDescent="0.35">
      <c r="A421" t="s">
        <v>364</v>
      </c>
    </row>
    <row r="422" spans="1:1" x14ac:dyDescent="0.35">
      <c r="A422" t="s">
        <v>365</v>
      </c>
    </row>
    <row r="423" spans="1:1" x14ac:dyDescent="0.35">
      <c r="A423" t="s">
        <v>366</v>
      </c>
    </row>
    <row r="424" spans="1:1" x14ac:dyDescent="0.35">
      <c r="A424" t="s">
        <v>367</v>
      </c>
    </row>
    <row r="425" spans="1:1" x14ac:dyDescent="0.35">
      <c r="A425" t="s">
        <v>368</v>
      </c>
    </row>
    <row r="426" spans="1:1" x14ac:dyDescent="0.35">
      <c r="A426" t="s">
        <v>369</v>
      </c>
    </row>
    <row r="427" spans="1:1" x14ac:dyDescent="0.35">
      <c r="A427" t="s">
        <v>370</v>
      </c>
    </row>
    <row r="428" spans="1:1" x14ac:dyDescent="0.35">
      <c r="A428" t="s">
        <v>371</v>
      </c>
    </row>
    <row r="429" spans="1:1" x14ac:dyDescent="0.35">
      <c r="A429" t="s">
        <v>372</v>
      </c>
    </row>
    <row r="430" spans="1:1" x14ac:dyDescent="0.35">
      <c r="A430" t="s">
        <v>373</v>
      </c>
    </row>
    <row r="431" spans="1:1" x14ac:dyDescent="0.35">
      <c r="A431" t="s">
        <v>374</v>
      </c>
    </row>
    <row r="432" spans="1:1" x14ac:dyDescent="0.35">
      <c r="A432" t="s">
        <v>375</v>
      </c>
    </row>
    <row r="433" spans="1:1" x14ac:dyDescent="0.35">
      <c r="A433" t="s">
        <v>376</v>
      </c>
    </row>
    <row r="434" spans="1:1" x14ac:dyDescent="0.35">
      <c r="A434" t="s">
        <v>377</v>
      </c>
    </row>
    <row r="435" spans="1:1" x14ac:dyDescent="0.35">
      <c r="A435" t="s">
        <v>378</v>
      </c>
    </row>
    <row r="436" spans="1:1" x14ac:dyDescent="0.35">
      <c r="A436" t="s">
        <v>379</v>
      </c>
    </row>
    <row r="437" spans="1:1" x14ac:dyDescent="0.35">
      <c r="A437" t="s">
        <v>380</v>
      </c>
    </row>
    <row r="438" spans="1:1" x14ac:dyDescent="0.35">
      <c r="A438" t="s">
        <v>381</v>
      </c>
    </row>
    <row r="439" spans="1:1" x14ac:dyDescent="0.35">
      <c r="A439" t="s">
        <v>382</v>
      </c>
    </row>
    <row r="440" spans="1:1" x14ac:dyDescent="0.35">
      <c r="A440" t="s">
        <v>383</v>
      </c>
    </row>
    <row r="441" spans="1:1" x14ac:dyDescent="0.35">
      <c r="A441" t="s">
        <v>384</v>
      </c>
    </row>
    <row r="442" spans="1:1" x14ac:dyDescent="0.35">
      <c r="A442" t="s">
        <v>385</v>
      </c>
    </row>
    <row r="443" spans="1:1" x14ac:dyDescent="0.35">
      <c r="A443" t="s">
        <v>386</v>
      </c>
    </row>
    <row r="444" spans="1:1" x14ac:dyDescent="0.35">
      <c r="A444" t="s">
        <v>387</v>
      </c>
    </row>
    <row r="445" spans="1:1" x14ac:dyDescent="0.35">
      <c r="A445" t="s">
        <v>388</v>
      </c>
    </row>
    <row r="446" spans="1:1" x14ac:dyDescent="0.35">
      <c r="A446" t="s">
        <v>389</v>
      </c>
    </row>
    <row r="447" spans="1:1" x14ac:dyDescent="0.35">
      <c r="A447" t="s">
        <v>364</v>
      </c>
    </row>
    <row r="448" spans="1:1" x14ac:dyDescent="0.35">
      <c r="A448" t="s">
        <v>365</v>
      </c>
    </row>
    <row r="449" spans="1:1" x14ac:dyDescent="0.35">
      <c r="A449" t="s">
        <v>390</v>
      </c>
    </row>
    <row r="450" spans="1:1" x14ac:dyDescent="0.35">
      <c r="A450" t="s">
        <v>391</v>
      </c>
    </row>
    <row r="451" spans="1:1" x14ac:dyDescent="0.35">
      <c r="A451" t="s">
        <v>392</v>
      </c>
    </row>
    <row r="452" spans="1:1" x14ac:dyDescent="0.35">
      <c r="A452" t="s">
        <v>393</v>
      </c>
    </row>
    <row r="453" spans="1:1" x14ac:dyDescent="0.35">
      <c r="A453" t="s">
        <v>394</v>
      </c>
    </row>
    <row r="454" spans="1:1" x14ac:dyDescent="0.35">
      <c r="A454" t="s">
        <v>395</v>
      </c>
    </row>
    <row r="455" spans="1:1" x14ac:dyDescent="0.35">
      <c r="A455" t="s">
        <v>396</v>
      </c>
    </row>
    <row r="456" spans="1:1" x14ac:dyDescent="0.35">
      <c r="A456" t="s">
        <v>397</v>
      </c>
    </row>
    <row r="457" spans="1:1" x14ac:dyDescent="0.35">
      <c r="A457" t="s">
        <v>398</v>
      </c>
    </row>
    <row r="458" spans="1:1" x14ac:dyDescent="0.35">
      <c r="A458" t="s">
        <v>399</v>
      </c>
    </row>
    <row r="459" spans="1:1" x14ac:dyDescent="0.35">
      <c r="A459" t="s">
        <v>400</v>
      </c>
    </row>
    <row r="460" spans="1:1" x14ac:dyDescent="0.35">
      <c r="A460" t="s">
        <v>401</v>
      </c>
    </row>
    <row r="461" spans="1:1" x14ac:dyDescent="0.35">
      <c r="A461" t="s">
        <v>402</v>
      </c>
    </row>
    <row r="462" spans="1:1" x14ac:dyDescent="0.35">
      <c r="A462" t="s">
        <v>399</v>
      </c>
    </row>
    <row r="463" spans="1:1" x14ac:dyDescent="0.35">
      <c r="A463" t="s">
        <v>400</v>
      </c>
    </row>
    <row r="464" spans="1:1" x14ac:dyDescent="0.35">
      <c r="A464" t="s">
        <v>403</v>
      </c>
    </row>
    <row r="465" spans="1:1" x14ac:dyDescent="0.35">
      <c r="A465" t="s">
        <v>404</v>
      </c>
    </row>
    <row r="466" spans="1:1" x14ac:dyDescent="0.35">
      <c r="A466" t="s">
        <v>405</v>
      </c>
    </row>
    <row r="467" spans="1:1" x14ac:dyDescent="0.35">
      <c r="A467" t="s">
        <v>406</v>
      </c>
    </row>
    <row r="468" spans="1:1" x14ac:dyDescent="0.35">
      <c r="A468" t="s">
        <v>407</v>
      </c>
    </row>
    <row r="469" spans="1:1" x14ac:dyDescent="0.35">
      <c r="A469" t="s">
        <v>408</v>
      </c>
    </row>
    <row r="470" spans="1:1" x14ac:dyDescent="0.35">
      <c r="A470" t="s">
        <v>409</v>
      </c>
    </row>
    <row r="471" spans="1:1" x14ac:dyDescent="0.35">
      <c r="A471" t="s">
        <v>410</v>
      </c>
    </row>
    <row r="472" spans="1:1" x14ac:dyDescent="0.35">
      <c r="A472" t="s">
        <v>411</v>
      </c>
    </row>
    <row r="473" spans="1:1" x14ac:dyDescent="0.35">
      <c r="A473" t="s">
        <v>412</v>
      </c>
    </row>
    <row r="474" spans="1:1" x14ac:dyDescent="0.35">
      <c r="A474" t="s">
        <v>413</v>
      </c>
    </row>
    <row r="475" spans="1:1" x14ac:dyDescent="0.35">
      <c r="A475" t="s">
        <v>404</v>
      </c>
    </row>
    <row r="476" spans="1:1" x14ac:dyDescent="0.35">
      <c r="A476" t="s">
        <v>414</v>
      </c>
    </row>
    <row r="477" spans="1:1" x14ac:dyDescent="0.35">
      <c r="A477" t="s">
        <v>415</v>
      </c>
    </row>
    <row r="478" spans="1:1" x14ac:dyDescent="0.35">
      <c r="A478" t="s">
        <v>416</v>
      </c>
    </row>
    <row r="479" spans="1:1" x14ac:dyDescent="0.35">
      <c r="A479" t="s">
        <v>417</v>
      </c>
    </row>
    <row r="480" spans="1:1" x14ac:dyDescent="0.35">
      <c r="A480" t="s">
        <v>418</v>
      </c>
    </row>
    <row r="481" spans="1:1" x14ac:dyDescent="0.35">
      <c r="A481" t="s">
        <v>415</v>
      </c>
    </row>
    <row r="482" spans="1:1" x14ac:dyDescent="0.35">
      <c r="A482" t="s">
        <v>416</v>
      </c>
    </row>
    <row r="483" spans="1:1" x14ac:dyDescent="0.35">
      <c r="A483" t="s">
        <v>419</v>
      </c>
    </row>
    <row r="484" spans="1:1" x14ac:dyDescent="0.35">
      <c r="A484" t="s">
        <v>420</v>
      </c>
    </row>
    <row r="485" spans="1:1" x14ac:dyDescent="0.35">
      <c r="A485" t="s">
        <v>421</v>
      </c>
    </row>
    <row r="486" spans="1:1" x14ac:dyDescent="0.35">
      <c r="A486" t="s">
        <v>422</v>
      </c>
    </row>
    <row r="487" spans="1:1" x14ac:dyDescent="0.35">
      <c r="A487" t="s">
        <v>423</v>
      </c>
    </row>
    <row r="488" spans="1:1" x14ac:dyDescent="0.35">
      <c r="A488" t="s">
        <v>424</v>
      </c>
    </row>
    <row r="489" spans="1:1" x14ac:dyDescent="0.35">
      <c r="A489" t="s">
        <v>419</v>
      </c>
    </row>
    <row r="490" spans="1:1" x14ac:dyDescent="0.35">
      <c r="A490" t="s">
        <v>425</v>
      </c>
    </row>
    <row r="491" spans="1:1" x14ac:dyDescent="0.35">
      <c r="A491" t="s">
        <v>426</v>
      </c>
    </row>
    <row r="492" spans="1:1" x14ac:dyDescent="0.35">
      <c r="A492" t="s">
        <v>427</v>
      </c>
    </row>
    <row r="493" spans="1:1" x14ac:dyDescent="0.35">
      <c r="A493" t="s">
        <v>428</v>
      </c>
    </row>
    <row r="494" spans="1:1" x14ac:dyDescent="0.35">
      <c r="A494" t="s">
        <v>429</v>
      </c>
    </row>
    <row r="495" spans="1:1" x14ac:dyDescent="0.35">
      <c r="A495" t="s">
        <v>430</v>
      </c>
    </row>
    <row r="496" spans="1:1" x14ac:dyDescent="0.35">
      <c r="A496" t="s">
        <v>431</v>
      </c>
    </row>
    <row r="497" spans="1:1" x14ac:dyDescent="0.35">
      <c r="A497" t="s">
        <v>432</v>
      </c>
    </row>
    <row r="498" spans="1:1" x14ac:dyDescent="0.35">
      <c r="A498" t="s">
        <v>433</v>
      </c>
    </row>
    <row r="499" spans="1:1" x14ac:dyDescent="0.35">
      <c r="A499" t="s">
        <v>434</v>
      </c>
    </row>
    <row r="500" spans="1:1" x14ac:dyDescent="0.35">
      <c r="A500" t="s">
        <v>435</v>
      </c>
    </row>
    <row r="501" spans="1:1" x14ac:dyDescent="0.35">
      <c r="A501" t="s">
        <v>436</v>
      </c>
    </row>
    <row r="502" spans="1:1" x14ac:dyDescent="0.35">
      <c r="A502" t="s">
        <v>425</v>
      </c>
    </row>
    <row r="503" spans="1:1" x14ac:dyDescent="0.35">
      <c r="A503" t="s">
        <v>437</v>
      </c>
    </row>
    <row r="504" spans="1:1" x14ac:dyDescent="0.35">
      <c r="A504" t="s">
        <v>438</v>
      </c>
    </row>
    <row r="505" spans="1:1" x14ac:dyDescent="0.35">
      <c r="A505" t="s">
        <v>439</v>
      </c>
    </row>
    <row r="506" spans="1:1" x14ac:dyDescent="0.35">
      <c r="A506" t="s">
        <v>440</v>
      </c>
    </row>
    <row r="507" spans="1:1" x14ac:dyDescent="0.35">
      <c r="A507" t="s">
        <v>441</v>
      </c>
    </row>
    <row r="508" spans="1:1" x14ac:dyDescent="0.35">
      <c r="A508" t="s">
        <v>438</v>
      </c>
    </row>
    <row r="509" spans="1:1" x14ac:dyDescent="0.35">
      <c r="A509" t="s">
        <v>439</v>
      </c>
    </row>
    <row r="510" spans="1:1" x14ac:dyDescent="0.35">
      <c r="A510" t="s">
        <v>442</v>
      </c>
    </row>
    <row r="511" spans="1:1" x14ac:dyDescent="0.35">
      <c r="A511" t="s">
        <v>443</v>
      </c>
    </row>
    <row r="512" spans="1:1" x14ac:dyDescent="0.35">
      <c r="A512" t="s">
        <v>444</v>
      </c>
    </row>
    <row r="513" spans="1:1" x14ac:dyDescent="0.35">
      <c r="A513" t="s">
        <v>445</v>
      </c>
    </row>
    <row r="514" spans="1:1" x14ac:dyDescent="0.35">
      <c r="A514" t="s">
        <v>446</v>
      </c>
    </row>
    <row r="515" spans="1:1" x14ac:dyDescent="0.35">
      <c r="A515" t="s">
        <v>447</v>
      </c>
    </row>
    <row r="516" spans="1:1" x14ac:dyDescent="0.35">
      <c r="A516" t="s">
        <v>448</v>
      </c>
    </row>
    <row r="517" spans="1:1" x14ac:dyDescent="0.35">
      <c r="A517" t="s">
        <v>449</v>
      </c>
    </row>
    <row r="518" spans="1:1" x14ac:dyDescent="0.35">
      <c r="A518" t="s">
        <v>444</v>
      </c>
    </row>
    <row r="519" spans="1:1" x14ac:dyDescent="0.35">
      <c r="A519" t="s">
        <v>445</v>
      </c>
    </row>
    <row r="520" spans="1:1" x14ac:dyDescent="0.35">
      <c r="A520" t="s">
        <v>450</v>
      </c>
    </row>
    <row r="521" spans="1:1" x14ac:dyDescent="0.35">
      <c r="A521" t="s">
        <v>451</v>
      </c>
    </row>
    <row r="522" spans="1:1" x14ac:dyDescent="0.35">
      <c r="A522" t="s">
        <v>452</v>
      </c>
    </row>
    <row r="523" spans="1:1" x14ac:dyDescent="0.35">
      <c r="A523" t="s">
        <v>453</v>
      </c>
    </row>
    <row r="524" spans="1:1" x14ac:dyDescent="0.35">
      <c r="A524" t="s">
        <v>454</v>
      </c>
    </row>
    <row r="525" spans="1:1" x14ac:dyDescent="0.35">
      <c r="A525" t="s">
        <v>455</v>
      </c>
    </row>
    <row r="526" spans="1:1" x14ac:dyDescent="0.35">
      <c r="A526" t="s">
        <v>456</v>
      </c>
    </row>
    <row r="527" spans="1:1" x14ac:dyDescent="0.35">
      <c r="A527" t="s">
        <v>457</v>
      </c>
    </row>
    <row r="528" spans="1:1" x14ac:dyDescent="0.35">
      <c r="A528" t="s">
        <v>458</v>
      </c>
    </row>
    <row r="529" spans="1:1" x14ac:dyDescent="0.35">
      <c r="A529" t="s">
        <v>459</v>
      </c>
    </row>
    <row r="530" spans="1:1" x14ac:dyDescent="0.35">
      <c r="A530" t="s">
        <v>460</v>
      </c>
    </row>
    <row r="531" spans="1:1" x14ac:dyDescent="0.35">
      <c r="A531" t="s">
        <v>461</v>
      </c>
    </row>
    <row r="532" spans="1:1" x14ac:dyDescent="0.35">
      <c r="A532" t="s">
        <v>462</v>
      </c>
    </row>
    <row r="533" spans="1:1" x14ac:dyDescent="0.35">
      <c r="A533" t="s">
        <v>463</v>
      </c>
    </row>
    <row r="534" spans="1:1" x14ac:dyDescent="0.35">
      <c r="A534" t="s">
        <v>464</v>
      </c>
    </row>
    <row r="535" spans="1:1" x14ac:dyDescent="0.35">
      <c r="A535" t="s">
        <v>465</v>
      </c>
    </row>
    <row r="536" spans="1:1" x14ac:dyDescent="0.35">
      <c r="A536" t="s">
        <v>466</v>
      </c>
    </row>
    <row r="537" spans="1:1" x14ac:dyDescent="0.35">
      <c r="A537" t="s">
        <v>467</v>
      </c>
    </row>
    <row r="538" spans="1:1" x14ac:dyDescent="0.35">
      <c r="A538" t="s">
        <v>468</v>
      </c>
    </row>
    <row r="539" spans="1:1" x14ac:dyDescent="0.35">
      <c r="A539" t="s">
        <v>469</v>
      </c>
    </row>
    <row r="540" spans="1:1" x14ac:dyDescent="0.35">
      <c r="A540" t="s">
        <v>470</v>
      </c>
    </row>
    <row r="541" spans="1:1" x14ac:dyDescent="0.35">
      <c r="A541" t="s">
        <v>471</v>
      </c>
    </row>
    <row r="542" spans="1:1" x14ac:dyDescent="0.35">
      <c r="A542" t="s">
        <v>472</v>
      </c>
    </row>
    <row r="543" spans="1:1" x14ac:dyDescent="0.35">
      <c r="A543" t="s">
        <v>473</v>
      </c>
    </row>
    <row r="544" spans="1:1" x14ac:dyDescent="0.35">
      <c r="A544" t="s">
        <v>474</v>
      </c>
    </row>
    <row r="545" spans="1:1" x14ac:dyDescent="0.35">
      <c r="A545" t="s">
        <v>475</v>
      </c>
    </row>
    <row r="546" spans="1:1" x14ac:dyDescent="0.35">
      <c r="A546" t="s">
        <v>476</v>
      </c>
    </row>
    <row r="547" spans="1:1" x14ac:dyDescent="0.35">
      <c r="A547" t="s">
        <v>477</v>
      </c>
    </row>
    <row r="548" spans="1:1" x14ac:dyDescent="0.35">
      <c r="A548" t="s">
        <v>478</v>
      </c>
    </row>
    <row r="549" spans="1:1" x14ac:dyDescent="0.35">
      <c r="A549" t="s">
        <v>479</v>
      </c>
    </row>
    <row r="550" spans="1:1" x14ac:dyDescent="0.35">
      <c r="A550" t="s">
        <v>480</v>
      </c>
    </row>
    <row r="551" spans="1:1" x14ac:dyDescent="0.35">
      <c r="A551" t="s">
        <v>481</v>
      </c>
    </row>
    <row r="552" spans="1:1" x14ac:dyDescent="0.35">
      <c r="A552" t="s">
        <v>482</v>
      </c>
    </row>
    <row r="553" spans="1:1" x14ac:dyDescent="0.35">
      <c r="A553" t="s">
        <v>483</v>
      </c>
    </row>
    <row r="554" spans="1:1" x14ac:dyDescent="0.35">
      <c r="A554" t="s">
        <v>484</v>
      </c>
    </row>
    <row r="555" spans="1:1" x14ac:dyDescent="0.35">
      <c r="A555" t="s">
        <v>485</v>
      </c>
    </row>
    <row r="556" spans="1:1" x14ac:dyDescent="0.35">
      <c r="A556" t="s">
        <v>452</v>
      </c>
    </row>
    <row r="557" spans="1:1" x14ac:dyDescent="0.35">
      <c r="A557" t="s">
        <v>453</v>
      </c>
    </row>
    <row r="558" spans="1:1" x14ac:dyDescent="0.35">
      <c r="A558" t="s">
        <v>454</v>
      </c>
    </row>
    <row r="559" spans="1:1" x14ac:dyDescent="0.35">
      <c r="A559" t="s">
        <v>455</v>
      </c>
    </row>
    <row r="560" spans="1:1" x14ac:dyDescent="0.35">
      <c r="A560" t="s">
        <v>456</v>
      </c>
    </row>
    <row r="561" spans="1:1" x14ac:dyDescent="0.35">
      <c r="A561" t="s">
        <v>486</v>
      </c>
    </row>
    <row r="562" spans="1:1" x14ac:dyDescent="0.35">
      <c r="A562" t="s">
        <v>487</v>
      </c>
    </row>
    <row r="563" spans="1:1" x14ac:dyDescent="0.35">
      <c r="A563" t="s">
        <v>488</v>
      </c>
    </row>
    <row r="564" spans="1:1" x14ac:dyDescent="0.35">
      <c r="A564" t="s">
        <v>489</v>
      </c>
    </row>
    <row r="565" spans="1:1" x14ac:dyDescent="0.35">
      <c r="A565" t="s">
        <v>490</v>
      </c>
    </row>
    <row r="566" spans="1:1" x14ac:dyDescent="0.35">
      <c r="A566" t="s">
        <v>491</v>
      </c>
    </row>
    <row r="567" spans="1:1" x14ac:dyDescent="0.35">
      <c r="A567" t="s">
        <v>492</v>
      </c>
    </row>
    <row r="568" spans="1:1" x14ac:dyDescent="0.35">
      <c r="A568" t="s">
        <v>486</v>
      </c>
    </row>
    <row r="569" spans="1:1" x14ac:dyDescent="0.35">
      <c r="A569" t="s">
        <v>493</v>
      </c>
    </row>
    <row r="570" spans="1:1" x14ac:dyDescent="0.35">
      <c r="A570" t="s">
        <v>494</v>
      </c>
    </row>
    <row r="571" spans="1:1" x14ac:dyDescent="0.35">
      <c r="A571" t="s">
        <v>495</v>
      </c>
    </row>
    <row r="572" spans="1:1" x14ac:dyDescent="0.35">
      <c r="A572" t="s">
        <v>496</v>
      </c>
    </row>
    <row r="573" spans="1:1" x14ac:dyDescent="0.35">
      <c r="A573" t="s">
        <v>497</v>
      </c>
    </row>
    <row r="574" spans="1:1" x14ac:dyDescent="0.35">
      <c r="A574" t="s">
        <v>498</v>
      </c>
    </row>
    <row r="575" spans="1:1" x14ac:dyDescent="0.35">
      <c r="A575" t="s">
        <v>496</v>
      </c>
    </row>
    <row r="576" spans="1:1" x14ac:dyDescent="0.35">
      <c r="A576" t="s">
        <v>497</v>
      </c>
    </row>
    <row r="577" spans="1:1" x14ac:dyDescent="0.35">
      <c r="A577" t="s">
        <v>498</v>
      </c>
    </row>
    <row r="578" spans="1:1" x14ac:dyDescent="0.35">
      <c r="A578" t="s">
        <v>499</v>
      </c>
    </row>
    <row r="579" spans="1:1" x14ac:dyDescent="0.35">
      <c r="A579" t="s">
        <v>500</v>
      </c>
    </row>
    <row r="580" spans="1:1" x14ac:dyDescent="0.35">
      <c r="A580" t="s">
        <v>501</v>
      </c>
    </row>
    <row r="581" spans="1:1" x14ac:dyDescent="0.35">
      <c r="A581" t="s">
        <v>502</v>
      </c>
    </row>
    <row r="582" spans="1:1" x14ac:dyDescent="0.35">
      <c r="A582" t="s">
        <v>503</v>
      </c>
    </row>
    <row r="583" spans="1:1" x14ac:dyDescent="0.35">
      <c r="A583" t="s">
        <v>504</v>
      </c>
    </row>
    <row r="584" spans="1:1" x14ac:dyDescent="0.35">
      <c r="A584" t="s">
        <v>505</v>
      </c>
    </row>
    <row r="585" spans="1:1" x14ac:dyDescent="0.35">
      <c r="A585" t="s">
        <v>506</v>
      </c>
    </row>
    <row r="586" spans="1:1" x14ac:dyDescent="0.35">
      <c r="A586" t="s">
        <v>507</v>
      </c>
    </row>
    <row r="587" spans="1:1" x14ac:dyDescent="0.35">
      <c r="A587" t="s">
        <v>508</v>
      </c>
    </row>
    <row r="588" spans="1:1" x14ac:dyDescent="0.35">
      <c r="A588" t="s">
        <v>509</v>
      </c>
    </row>
    <row r="589" spans="1:1" x14ac:dyDescent="0.35">
      <c r="A589" t="s">
        <v>510</v>
      </c>
    </row>
    <row r="590" spans="1:1" x14ac:dyDescent="0.35">
      <c r="A590" t="s">
        <v>511</v>
      </c>
    </row>
    <row r="591" spans="1:1" x14ac:dyDescent="0.35">
      <c r="A591" t="s">
        <v>512</v>
      </c>
    </row>
    <row r="592" spans="1:1" x14ac:dyDescent="0.35">
      <c r="A592" t="s">
        <v>513</v>
      </c>
    </row>
    <row r="593" spans="1:1" x14ac:dyDescent="0.35">
      <c r="A593" t="s">
        <v>514</v>
      </c>
    </row>
    <row r="594" spans="1:1" x14ac:dyDescent="0.35">
      <c r="A594" t="s">
        <v>515</v>
      </c>
    </row>
    <row r="595" spans="1:1" x14ac:dyDescent="0.35">
      <c r="A595" t="s">
        <v>516</v>
      </c>
    </row>
    <row r="596" spans="1:1" x14ac:dyDescent="0.35">
      <c r="A596" t="s">
        <v>517</v>
      </c>
    </row>
    <row r="597" spans="1:1" x14ac:dyDescent="0.35">
      <c r="A597" t="s">
        <v>518</v>
      </c>
    </row>
    <row r="598" spans="1:1" x14ac:dyDescent="0.35">
      <c r="A598" t="s">
        <v>519</v>
      </c>
    </row>
    <row r="599" spans="1:1" x14ac:dyDescent="0.35">
      <c r="A599" t="s">
        <v>520</v>
      </c>
    </row>
    <row r="600" spans="1:1" x14ac:dyDescent="0.35">
      <c r="A600" t="s">
        <v>521</v>
      </c>
    </row>
    <row r="601" spans="1:1" x14ac:dyDescent="0.35">
      <c r="A601" t="s">
        <v>522</v>
      </c>
    </row>
    <row r="602" spans="1:1" x14ac:dyDescent="0.35">
      <c r="A602" t="s">
        <v>523</v>
      </c>
    </row>
    <row r="603" spans="1:1" x14ac:dyDescent="0.35">
      <c r="A603" t="s">
        <v>524</v>
      </c>
    </row>
    <row r="604" spans="1:1" x14ac:dyDescent="0.35">
      <c r="A604" t="s">
        <v>525</v>
      </c>
    </row>
    <row r="605" spans="1:1" x14ac:dyDescent="0.35">
      <c r="A605" t="s">
        <v>526</v>
      </c>
    </row>
    <row r="606" spans="1:1" x14ac:dyDescent="0.35">
      <c r="A606" t="s">
        <v>527</v>
      </c>
    </row>
    <row r="607" spans="1:1" x14ac:dyDescent="0.35">
      <c r="A607" t="s">
        <v>528</v>
      </c>
    </row>
    <row r="608" spans="1:1" x14ac:dyDescent="0.35">
      <c r="A608" t="s">
        <v>529</v>
      </c>
    </row>
    <row r="609" spans="1:1" x14ac:dyDescent="0.35">
      <c r="A609" t="s">
        <v>530</v>
      </c>
    </row>
    <row r="610" spans="1:1" x14ac:dyDescent="0.35">
      <c r="A610" t="s">
        <v>531</v>
      </c>
    </row>
    <row r="611" spans="1:1" x14ac:dyDescent="0.35">
      <c r="A611" t="s">
        <v>532</v>
      </c>
    </row>
    <row r="612" spans="1:1" x14ac:dyDescent="0.35">
      <c r="A612" t="s">
        <v>533</v>
      </c>
    </row>
    <row r="613" spans="1:1" x14ac:dyDescent="0.35">
      <c r="A613" t="s">
        <v>534</v>
      </c>
    </row>
    <row r="614" spans="1:1" x14ac:dyDescent="0.35">
      <c r="A614" t="s">
        <v>535</v>
      </c>
    </row>
    <row r="615" spans="1:1" x14ac:dyDescent="0.35">
      <c r="A615" t="s">
        <v>536</v>
      </c>
    </row>
    <row r="616" spans="1:1" x14ac:dyDescent="0.35">
      <c r="A616" t="s">
        <v>537</v>
      </c>
    </row>
    <row r="617" spans="1:1" x14ac:dyDescent="0.35">
      <c r="A617" t="s">
        <v>538</v>
      </c>
    </row>
    <row r="618" spans="1:1" x14ac:dyDescent="0.35">
      <c r="A618" t="s">
        <v>539</v>
      </c>
    </row>
    <row r="619" spans="1:1" x14ac:dyDescent="0.35">
      <c r="A619" t="s">
        <v>540</v>
      </c>
    </row>
    <row r="620" spans="1:1" x14ac:dyDescent="0.35">
      <c r="A620" t="s">
        <v>541</v>
      </c>
    </row>
    <row r="621" spans="1:1" x14ac:dyDescent="0.35">
      <c r="A621" t="s">
        <v>542</v>
      </c>
    </row>
    <row r="622" spans="1:1" x14ac:dyDescent="0.35">
      <c r="A622" t="s">
        <v>543</v>
      </c>
    </row>
    <row r="623" spans="1:1" x14ac:dyDescent="0.35">
      <c r="A623" t="s">
        <v>544</v>
      </c>
    </row>
    <row r="624" spans="1:1" x14ac:dyDescent="0.35">
      <c r="A624" t="s">
        <v>545</v>
      </c>
    </row>
    <row r="625" spans="1:1" x14ac:dyDescent="0.35">
      <c r="A625" t="s">
        <v>546</v>
      </c>
    </row>
    <row r="626" spans="1:1" x14ac:dyDescent="0.35">
      <c r="A626" t="s">
        <v>537</v>
      </c>
    </row>
    <row r="627" spans="1:1" x14ac:dyDescent="0.35">
      <c r="A627" t="s">
        <v>547</v>
      </c>
    </row>
    <row r="628" spans="1:1" x14ac:dyDescent="0.35">
      <c r="A628" t="s">
        <v>548</v>
      </c>
    </row>
    <row r="629" spans="1:1" x14ac:dyDescent="0.35">
      <c r="A629" t="s">
        <v>549</v>
      </c>
    </row>
    <row r="630" spans="1:1" x14ac:dyDescent="0.35">
      <c r="A630" t="s">
        <v>550</v>
      </c>
    </row>
    <row r="631" spans="1:1" x14ac:dyDescent="0.35">
      <c r="A631" t="s">
        <v>551</v>
      </c>
    </row>
    <row r="632" spans="1:1" x14ac:dyDescent="0.35">
      <c r="A632" t="s">
        <v>552</v>
      </c>
    </row>
    <row r="633" spans="1:1" x14ac:dyDescent="0.35">
      <c r="A633" t="s">
        <v>553</v>
      </c>
    </row>
    <row r="634" spans="1:1" x14ac:dyDescent="0.35">
      <c r="A634" t="s">
        <v>554</v>
      </c>
    </row>
    <row r="635" spans="1:1" x14ac:dyDescent="0.35">
      <c r="A635" t="s">
        <v>555</v>
      </c>
    </row>
    <row r="636" spans="1:1" x14ac:dyDescent="0.35">
      <c r="A636" t="s">
        <v>556</v>
      </c>
    </row>
    <row r="637" spans="1:1" x14ac:dyDescent="0.35">
      <c r="A637" t="s">
        <v>557</v>
      </c>
    </row>
    <row r="638" spans="1:1" x14ac:dyDescent="0.35">
      <c r="A638" t="s">
        <v>558</v>
      </c>
    </row>
    <row r="639" spans="1:1" x14ac:dyDescent="0.35">
      <c r="A639" t="s">
        <v>559</v>
      </c>
    </row>
    <row r="640" spans="1:1" x14ac:dyDescent="0.35">
      <c r="A640" t="s">
        <v>560</v>
      </c>
    </row>
    <row r="641" spans="1:1" x14ac:dyDescent="0.35">
      <c r="A641" t="s">
        <v>521</v>
      </c>
    </row>
    <row r="642" spans="1:1" x14ac:dyDescent="0.35">
      <c r="A642" t="s">
        <v>561</v>
      </c>
    </row>
    <row r="643" spans="1:1" x14ac:dyDescent="0.35">
      <c r="A643" t="s">
        <v>562</v>
      </c>
    </row>
    <row r="644" spans="1:1" x14ac:dyDescent="0.35">
      <c r="A644" t="s">
        <v>563</v>
      </c>
    </row>
    <row r="645" spans="1:1" x14ac:dyDescent="0.35">
      <c r="A645" t="s">
        <v>564</v>
      </c>
    </row>
    <row r="646" spans="1:1" x14ac:dyDescent="0.35">
      <c r="A646" t="s">
        <v>565</v>
      </c>
    </row>
    <row r="647" spans="1:1" x14ac:dyDescent="0.35">
      <c r="A647" t="s">
        <v>566</v>
      </c>
    </row>
    <row r="648" spans="1:1" x14ac:dyDescent="0.35">
      <c r="A648" t="s">
        <v>567</v>
      </c>
    </row>
    <row r="649" spans="1:1" x14ac:dyDescent="0.35">
      <c r="A649" t="s">
        <v>568</v>
      </c>
    </row>
    <row r="650" spans="1:1" x14ac:dyDescent="0.35">
      <c r="A650" t="s">
        <v>569</v>
      </c>
    </row>
    <row r="651" spans="1:1" x14ac:dyDescent="0.35">
      <c r="A651" t="s">
        <v>570</v>
      </c>
    </row>
    <row r="652" spans="1:1" x14ac:dyDescent="0.35">
      <c r="A652" t="s">
        <v>571</v>
      </c>
    </row>
    <row r="653" spans="1:1" x14ac:dyDescent="0.35">
      <c r="A653" t="s">
        <v>564</v>
      </c>
    </row>
    <row r="654" spans="1:1" x14ac:dyDescent="0.35">
      <c r="A654" t="s">
        <v>565</v>
      </c>
    </row>
    <row r="655" spans="1:1" x14ac:dyDescent="0.35">
      <c r="A655" t="s">
        <v>572</v>
      </c>
    </row>
    <row r="656" spans="1:1" x14ac:dyDescent="0.35">
      <c r="A656" t="s">
        <v>573</v>
      </c>
    </row>
    <row r="657" spans="1:1" x14ac:dyDescent="0.35">
      <c r="A657" t="s">
        <v>574</v>
      </c>
    </row>
    <row r="658" spans="1:1" x14ac:dyDescent="0.35">
      <c r="A658" t="s">
        <v>575</v>
      </c>
    </row>
    <row r="659" spans="1:1" x14ac:dyDescent="0.35">
      <c r="A659" t="s">
        <v>576</v>
      </c>
    </row>
    <row r="660" spans="1:1" x14ac:dyDescent="0.35">
      <c r="A660" t="s">
        <v>577</v>
      </c>
    </row>
    <row r="661" spans="1:1" x14ac:dyDescent="0.35">
      <c r="A661" t="s">
        <v>578</v>
      </c>
    </row>
    <row r="662" spans="1:1" x14ac:dyDescent="0.35">
      <c r="A662" t="s">
        <v>579</v>
      </c>
    </row>
    <row r="663" spans="1:1" x14ac:dyDescent="0.35">
      <c r="A663" t="s">
        <v>580</v>
      </c>
    </row>
    <row r="664" spans="1:1" x14ac:dyDescent="0.35">
      <c r="A664" t="s">
        <v>581</v>
      </c>
    </row>
    <row r="665" spans="1:1" x14ac:dyDescent="0.35">
      <c r="A665" t="s">
        <v>582</v>
      </c>
    </row>
    <row r="666" spans="1:1" x14ac:dyDescent="0.35">
      <c r="A666" t="s">
        <v>583</v>
      </c>
    </row>
    <row r="667" spans="1:1" x14ac:dyDescent="0.35">
      <c r="A667" t="s">
        <v>584</v>
      </c>
    </row>
    <row r="668" spans="1:1" x14ac:dyDescent="0.35">
      <c r="A668" t="s">
        <v>585</v>
      </c>
    </row>
    <row r="669" spans="1:1" x14ac:dyDescent="0.35">
      <c r="A669" t="s">
        <v>586</v>
      </c>
    </row>
    <row r="670" spans="1:1" x14ac:dyDescent="0.35">
      <c r="A670" t="s">
        <v>587</v>
      </c>
    </row>
    <row r="671" spans="1:1" x14ac:dyDescent="0.35">
      <c r="A671" t="s">
        <v>588</v>
      </c>
    </row>
    <row r="672" spans="1:1" x14ac:dyDescent="0.35">
      <c r="A672" t="s">
        <v>589</v>
      </c>
    </row>
    <row r="673" spans="1:1" x14ac:dyDescent="0.35">
      <c r="A673" t="s">
        <v>590</v>
      </c>
    </row>
    <row r="674" spans="1:1" x14ac:dyDescent="0.35">
      <c r="A674" t="s">
        <v>572</v>
      </c>
    </row>
    <row r="675" spans="1:1" x14ac:dyDescent="0.35">
      <c r="A675" t="s">
        <v>591</v>
      </c>
    </row>
    <row r="676" spans="1:1" x14ac:dyDescent="0.35">
      <c r="A676" t="s">
        <v>592</v>
      </c>
    </row>
    <row r="677" spans="1:1" x14ac:dyDescent="0.35">
      <c r="A677" t="s">
        <v>593</v>
      </c>
    </row>
    <row r="678" spans="1:1" x14ac:dyDescent="0.35">
      <c r="A678" t="s">
        <v>594</v>
      </c>
    </row>
    <row r="679" spans="1:1" x14ac:dyDescent="0.35">
      <c r="A679" t="s">
        <v>591</v>
      </c>
    </row>
    <row r="680" spans="1:1" x14ac:dyDescent="0.35">
      <c r="A680" t="s">
        <v>592</v>
      </c>
    </row>
    <row r="681" spans="1:1" x14ac:dyDescent="0.35">
      <c r="A681" t="s">
        <v>595</v>
      </c>
    </row>
    <row r="682" spans="1:1" x14ac:dyDescent="0.35">
      <c r="A682" t="s">
        <v>596</v>
      </c>
    </row>
    <row r="683" spans="1:1" x14ac:dyDescent="0.35">
      <c r="A683" t="s">
        <v>597</v>
      </c>
    </row>
    <row r="684" spans="1:1" x14ac:dyDescent="0.35">
      <c r="A684" t="s">
        <v>598</v>
      </c>
    </row>
    <row r="685" spans="1:1" x14ac:dyDescent="0.35">
      <c r="A685" t="s">
        <v>599</v>
      </c>
    </row>
    <row r="686" spans="1:1" x14ac:dyDescent="0.35">
      <c r="A686" t="s">
        <v>600</v>
      </c>
    </row>
    <row r="687" spans="1:1" x14ac:dyDescent="0.35">
      <c r="A687" t="s">
        <v>601</v>
      </c>
    </row>
    <row r="688" spans="1:1" x14ac:dyDescent="0.35">
      <c r="A688" t="s">
        <v>602</v>
      </c>
    </row>
    <row r="689" spans="1:1" x14ac:dyDescent="0.35">
      <c r="A689" t="s">
        <v>603</v>
      </c>
    </row>
    <row r="690" spans="1:1" x14ac:dyDescent="0.35">
      <c r="A690" t="s">
        <v>604</v>
      </c>
    </row>
    <row r="691" spans="1:1" x14ac:dyDescent="0.35">
      <c r="A691" t="s">
        <v>605</v>
      </c>
    </row>
    <row r="692" spans="1:1" x14ac:dyDescent="0.35">
      <c r="A692" t="s">
        <v>606</v>
      </c>
    </row>
    <row r="693" spans="1:1" x14ac:dyDescent="0.35">
      <c r="A693" t="s">
        <v>607</v>
      </c>
    </row>
    <row r="694" spans="1:1" x14ac:dyDescent="0.35">
      <c r="A694" t="s">
        <v>608</v>
      </c>
    </row>
    <row r="695" spans="1:1" x14ac:dyDescent="0.35">
      <c r="A695" t="s">
        <v>609</v>
      </c>
    </row>
    <row r="696" spans="1:1" x14ac:dyDescent="0.35">
      <c r="A696" t="s">
        <v>610</v>
      </c>
    </row>
    <row r="697" spans="1:1" x14ac:dyDescent="0.35">
      <c r="A697" t="s">
        <v>611</v>
      </c>
    </row>
    <row r="698" spans="1:1" x14ac:dyDescent="0.35">
      <c r="A698" t="s">
        <v>612</v>
      </c>
    </row>
    <row r="699" spans="1:1" x14ac:dyDescent="0.35">
      <c r="A699" t="s">
        <v>613</v>
      </c>
    </row>
    <row r="700" spans="1:1" x14ac:dyDescent="0.35">
      <c r="A700" t="s">
        <v>601</v>
      </c>
    </row>
    <row r="701" spans="1:1" x14ac:dyDescent="0.35">
      <c r="A701" t="s">
        <v>602</v>
      </c>
    </row>
    <row r="702" spans="1:1" x14ac:dyDescent="0.35">
      <c r="A702" t="s">
        <v>603</v>
      </c>
    </row>
    <row r="703" spans="1:1" x14ac:dyDescent="0.35">
      <c r="A703" t="s">
        <v>614</v>
      </c>
    </row>
    <row r="704" spans="1:1" x14ac:dyDescent="0.35">
      <c r="A704" t="s">
        <v>615</v>
      </c>
    </row>
    <row r="705" spans="1:1" x14ac:dyDescent="0.35">
      <c r="A705" t="s">
        <v>616</v>
      </c>
    </row>
    <row r="706" spans="1:1" x14ac:dyDescent="0.35">
      <c r="A706" t="s">
        <v>617</v>
      </c>
    </row>
    <row r="707" spans="1:1" x14ac:dyDescent="0.35">
      <c r="A707" t="s">
        <v>618</v>
      </c>
    </row>
    <row r="708" spans="1:1" x14ac:dyDescent="0.35">
      <c r="A708" t="s">
        <v>619</v>
      </c>
    </row>
    <row r="709" spans="1:1" x14ac:dyDescent="0.35">
      <c r="A709" t="s">
        <v>620</v>
      </c>
    </row>
    <row r="710" spans="1:1" x14ac:dyDescent="0.35">
      <c r="A710" t="s">
        <v>621</v>
      </c>
    </row>
    <row r="711" spans="1:1" x14ac:dyDescent="0.35">
      <c r="A711" t="s">
        <v>622</v>
      </c>
    </row>
    <row r="712" spans="1:1" x14ac:dyDescent="0.35">
      <c r="A712" t="s">
        <v>623</v>
      </c>
    </row>
    <row r="713" spans="1:1" x14ac:dyDescent="0.35">
      <c r="A713" t="s">
        <v>624</v>
      </c>
    </row>
    <row r="714" spans="1:1" x14ac:dyDescent="0.35">
      <c r="A714" t="s">
        <v>619</v>
      </c>
    </row>
    <row r="715" spans="1:1" x14ac:dyDescent="0.35">
      <c r="A715" t="s">
        <v>620</v>
      </c>
    </row>
    <row r="716" spans="1:1" x14ac:dyDescent="0.35">
      <c r="A716" t="s">
        <v>621</v>
      </c>
    </row>
    <row r="717" spans="1:1" x14ac:dyDescent="0.35">
      <c r="A717" t="s">
        <v>622</v>
      </c>
    </row>
    <row r="718" spans="1:1" x14ac:dyDescent="0.35">
      <c r="A718" t="s">
        <v>625</v>
      </c>
    </row>
    <row r="719" spans="1:1" x14ac:dyDescent="0.35">
      <c r="A719" t="s">
        <v>626</v>
      </c>
    </row>
    <row r="720" spans="1:1" x14ac:dyDescent="0.35">
      <c r="A720" t="s">
        <v>627</v>
      </c>
    </row>
    <row r="721" spans="1:1" x14ac:dyDescent="0.35">
      <c r="A721" t="s">
        <v>628</v>
      </c>
    </row>
    <row r="722" spans="1:1" x14ac:dyDescent="0.35">
      <c r="A722" t="s">
        <v>629</v>
      </c>
    </row>
    <row r="723" spans="1:1" x14ac:dyDescent="0.35">
      <c r="A723" t="s">
        <v>630</v>
      </c>
    </row>
    <row r="724" spans="1:1" x14ac:dyDescent="0.35">
      <c r="A724" t="s">
        <v>627</v>
      </c>
    </row>
    <row r="725" spans="1:1" x14ac:dyDescent="0.35">
      <c r="A725" t="s">
        <v>628</v>
      </c>
    </row>
    <row r="726" spans="1:1" x14ac:dyDescent="0.35">
      <c r="A726" t="s">
        <v>629</v>
      </c>
    </row>
    <row r="727" spans="1:1" x14ac:dyDescent="0.35">
      <c r="A727" t="s">
        <v>631</v>
      </c>
    </row>
    <row r="728" spans="1:1" x14ac:dyDescent="0.35">
      <c r="A728" t="s">
        <v>632</v>
      </c>
    </row>
    <row r="729" spans="1:1" x14ac:dyDescent="0.35">
      <c r="A729" t="s">
        <v>633</v>
      </c>
    </row>
    <row r="730" spans="1:1" x14ac:dyDescent="0.35">
      <c r="A730" t="s">
        <v>634</v>
      </c>
    </row>
    <row r="731" spans="1:1" x14ac:dyDescent="0.35">
      <c r="A731" t="s">
        <v>635</v>
      </c>
    </row>
    <row r="732" spans="1:1" x14ac:dyDescent="0.35">
      <c r="A732" t="s">
        <v>636</v>
      </c>
    </row>
    <row r="733" spans="1:1" x14ac:dyDescent="0.35">
      <c r="A733" t="s">
        <v>637</v>
      </c>
    </row>
    <row r="734" spans="1:1" x14ac:dyDescent="0.35">
      <c r="A734" t="s">
        <v>638</v>
      </c>
    </row>
    <row r="735" spans="1:1" x14ac:dyDescent="0.35">
      <c r="A735" t="s">
        <v>639</v>
      </c>
    </row>
    <row r="736" spans="1:1" x14ac:dyDescent="0.35">
      <c r="A736" t="s">
        <v>640</v>
      </c>
    </row>
    <row r="737" spans="1:1" x14ac:dyDescent="0.35">
      <c r="A737" t="s">
        <v>641</v>
      </c>
    </row>
    <row r="738" spans="1:1" x14ac:dyDescent="0.35">
      <c r="A738" t="s">
        <v>642</v>
      </c>
    </row>
    <row r="739" spans="1:1" x14ac:dyDescent="0.35">
      <c r="A739" t="s">
        <v>643</v>
      </c>
    </row>
    <row r="740" spans="1:1" x14ac:dyDescent="0.35">
      <c r="A740" t="s">
        <v>633</v>
      </c>
    </row>
    <row r="741" spans="1:1" x14ac:dyDescent="0.35">
      <c r="A741" t="s">
        <v>644</v>
      </c>
    </row>
    <row r="742" spans="1:1" x14ac:dyDescent="0.35">
      <c r="A742" t="s">
        <v>645</v>
      </c>
    </row>
    <row r="743" spans="1:1" x14ac:dyDescent="0.35">
      <c r="A743" t="s">
        <v>646</v>
      </c>
    </row>
    <row r="744" spans="1:1" x14ac:dyDescent="0.35">
      <c r="A744" t="s">
        <v>647</v>
      </c>
    </row>
    <row r="745" spans="1:1" x14ac:dyDescent="0.35">
      <c r="A745" t="s">
        <v>648</v>
      </c>
    </row>
    <row r="746" spans="1:1" x14ac:dyDescent="0.35">
      <c r="A746" t="s">
        <v>649</v>
      </c>
    </row>
    <row r="747" spans="1:1" x14ac:dyDescent="0.35">
      <c r="A747" t="s">
        <v>650</v>
      </c>
    </row>
    <row r="748" spans="1:1" x14ac:dyDescent="0.35">
      <c r="A748" t="s">
        <v>646</v>
      </c>
    </row>
    <row r="749" spans="1:1" x14ac:dyDescent="0.35">
      <c r="A749" t="s">
        <v>651</v>
      </c>
    </row>
    <row r="750" spans="1:1" x14ac:dyDescent="0.35">
      <c r="A750" t="s">
        <v>652</v>
      </c>
    </row>
    <row r="751" spans="1:1" x14ac:dyDescent="0.35">
      <c r="A751" t="s">
        <v>653</v>
      </c>
    </row>
    <row r="752" spans="1:1" x14ac:dyDescent="0.35">
      <c r="A752" t="s">
        <v>654</v>
      </c>
    </row>
    <row r="753" spans="1:1" x14ac:dyDescent="0.35">
      <c r="A753" t="s">
        <v>655</v>
      </c>
    </row>
    <row r="754" spans="1:1" x14ac:dyDescent="0.35">
      <c r="A754" t="s">
        <v>656</v>
      </c>
    </row>
    <row r="755" spans="1:1" x14ac:dyDescent="0.35">
      <c r="A755" t="s">
        <v>657</v>
      </c>
    </row>
    <row r="756" spans="1:1" x14ac:dyDescent="0.35">
      <c r="A756" t="s">
        <v>658</v>
      </c>
    </row>
    <row r="757" spans="1:1" x14ac:dyDescent="0.35">
      <c r="A757" t="s">
        <v>659</v>
      </c>
    </row>
    <row r="758" spans="1:1" x14ac:dyDescent="0.35">
      <c r="A758" t="s">
        <v>660</v>
      </c>
    </row>
    <row r="759" spans="1:1" x14ac:dyDescent="0.35">
      <c r="A759" t="s">
        <v>661</v>
      </c>
    </row>
    <row r="760" spans="1:1" x14ac:dyDescent="0.35">
      <c r="A760" t="s">
        <v>662</v>
      </c>
    </row>
    <row r="761" spans="1:1" x14ac:dyDescent="0.35">
      <c r="A761" t="s">
        <v>663</v>
      </c>
    </row>
    <row r="762" spans="1:1" x14ac:dyDescent="0.35">
      <c r="A762" t="s">
        <v>651</v>
      </c>
    </row>
    <row r="763" spans="1:1" x14ac:dyDescent="0.35">
      <c r="A763" t="s">
        <v>664</v>
      </c>
    </row>
    <row r="764" spans="1:1" x14ac:dyDescent="0.35">
      <c r="A764" t="s">
        <v>665</v>
      </c>
    </row>
    <row r="765" spans="1:1" x14ac:dyDescent="0.35">
      <c r="A765" t="s">
        <v>666</v>
      </c>
    </row>
    <row r="766" spans="1:1" x14ac:dyDescent="0.35">
      <c r="A766" t="s">
        <v>667</v>
      </c>
    </row>
    <row r="767" spans="1:1" x14ac:dyDescent="0.35">
      <c r="A767" t="s">
        <v>668</v>
      </c>
    </row>
    <row r="768" spans="1:1" x14ac:dyDescent="0.35">
      <c r="A768" t="s">
        <v>669</v>
      </c>
    </row>
    <row r="769" spans="1:1" x14ac:dyDescent="0.35">
      <c r="A769" t="s">
        <v>670</v>
      </c>
    </row>
    <row r="770" spans="1:1" x14ac:dyDescent="0.35">
      <c r="A770" t="s">
        <v>671</v>
      </c>
    </row>
    <row r="771" spans="1:1" x14ac:dyDescent="0.35">
      <c r="A771" t="s">
        <v>672</v>
      </c>
    </row>
    <row r="772" spans="1:1" x14ac:dyDescent="0.35">
      <c r="A772" t="s">
        <v>673</v>
      </c>
    </row>
    <row r="773" spans="1:1" x14ac:dyDescent="0.35">
      <c r="A773" t="s">
        <v>674</v>
      </c>
    </row>
    <row r="774" spans="1:1" x14ac:dyDescent="0.35">
      <c r="A774" t="s">
        <v>675</v>
      </c>
    </row>
    <row r="775" spans="1:1" x14ac:dyDescent="0.35">
      <c r="A775" t="s">
        <v>676</v>
      </c>
    </row>
    <row r="776" spans="1:1" x14ac:dyDescent="0.35">
      <c r="A776" t="s">
        <v>677</v>
      </c>
    </row>
    <row r="777" spans="1:1" x14ac:dyDescent="0.35">
      <c r="A777" t="s">
        <v>678</v>
      </c>
    </row>
    <row r="778" spans="1:1" x14ac:dyDescent="0.35">
      <c r="A778" t="s">
        <v>679</v>
      </c>
    </row>
    <row r="779" spans="1:1" x14ac:dyDescent="0.35">
      <c r="A779" t="s">
        <v>680</v>
      </c>
    </row>
    <row r="780" spans="1:1" x14ac:dyDescent="0.35">
      <c r="A780" t="s">
        <v>681</v>
      </c>
    </row>
    <row r="781" spans="1:1" x14ac:dyDescent="0.35">
      <c r="A781" t="s">
        <v>682</v>
      </c>
    </row>
    <row r="782" spans="1:1" x14ac:dyDescent="0.35">
      <c r="A782" t="s">
        <v>683</v>
      </c>
    </row>
    <row r="783" spans="1:1" x14ac:dyDescent="0.35">
      <c r="A783" t="s">
        <v>684</v>
      </c>
    </row>
    <row r="784" spans="1:1" x14ac:dyDescent="0.35">
      <c r="A784" t="s">
        <v>685</v>
      </c>
    </row>
    <row r="785" spans="1:1" x14ac:dyDescent="0.35">
      <c r="A785" t="s">
        <v>675</v>
      </c>
    </row>
    <row r="786" spans="1:1" x14ac:dyDescent="0.35">
      <c r="A786" t="s">
        <v>686</v>
      </c>
    </row>
    <row r="787" spans="1:1" x14ac:dyDescent="0.35">
      <c r="A787" t="s">
        <v>687</v>
      </c>
    </row>
    <row r="788" spans="1:1" x14ac:dyDescent="0.35">
      <c r="A788" t="s">
        <v>688</v>
      </c>
    </row>
    <row r="789" spans="1:1" x14ac:dyDescent="0.35">
      <c r="A789" t="s">
        <v>689</v>
      </c>
    </row>
    <row r="790" spans="1:1" x14ac:dyDescent="0.35">
      <c r="A790" t="s">
        <v>686</v>
      </c>
    </row>
    <row r="791" spans="1:1" x14ac:dyDescent="0.35">
      <c r="A791" t="s">
        <v>687</v>
      </c>
    </row>
    <row r="792" spans="1:1" x14ac:dyDescent="0.35">
      <c r="A792" t="s">
        <v>688</v>
      </c>
    </row>
    <row r="793" spans="1:1" x14ac:dyDescent="0.35">
      <c r="A793" t="s">
        <v>689</v>
      </c>
    </row>
    <row r="794" spans="1:1" x14ac:dyDescent="0.35">
      <c r="A794" t="s">
        <v>690</v>
      </c>
    </row>
    <row r="795" spans="1:1" x14ac:dyDescent="0.35">
      <c r="A795" t="s">
        <v>691</v>
      </c>
    </row>
    <row r="796" spans="1:1" x14ac:dyDescent="0.35">
      <c r="A796" t="s">
        <v>692</v>
      </c>
    </row>
    <row r="797" spans="1:1" x14ac:dyDescent="0.35">
      <c r="A797" t="s">
        <v>693</v>
      </c>
    </row>
    <row r="798" spans="1:1" x14ac:dyDescent="0.35">
      <c r="A798" t="s">
        <v>694</v>
      </c>
    </row>
    <row r="799" spans="1:1" x14ac:dyDescent="0.35">
      <c r="A799" t="s">
        <v>692</v>
      </c>
    </row>
    <row r="800" spans="1:1" x14ac:dyDescent="0.35">
      <c r="A800" t="s">
        <v>693</v>
      </c>
    </row>
    <row r="801" spans="1:1" x14ac:dyDescent="0.35">
      <c r="A801" t="s">
        <v>695</v>
      </c>
    </row>
    <row r="802" spans="1:1" x14ac:dyDescent="0.35">
      <c r="A802" t="s">
        <v>696</v>
      </c>
    </row>
    <row r="803" spans="1:1" x14ac:dyDescent="0.35">
      <c r="A803" t="s">
        <v>697</v>
      </c>
    </row>
    <row r="804" spans="1:1" x14ac:dyDescent="0.35">
      <c r="A804" t="s">
        <v>698</v>
      </c>
    </row>
    <row r="805" spans="1:1" x14ac:dyDescent="0.35">
      <c r="A805" t="s">
        <v>699</v>
      </c>
    </row>
    <row r="806" spans="1:1" x14ac:dyDescent="0.35">
      <c r="A806" t="s">
        <v>700</v>
      </c>
    </row>
    <row r="807" spans="1:1" x14ac:dyDescent="0.35">
      <c r="A807" t="s">
        <v>701</v>
      </c>
    </row>
    <row r="808" spans="1:1" x14ac:dyDescent="0.35">
      <c r="A808" t="s">
        <v>697</v>
      </c>
    </row>
    <row r="809" spans="1:1" x14ac:dyDescent="0.35">
      <c r="A809" t="s">
        <v>698</v>
      </c>
    </row>
    <row r="810" spans="1:1" x14ac:dyDescent="0.35">
      <c r="A810" t="s">
        <v>702</v>
      </c>
    </row>
    <row r="811" spans="1:1" x14ac:dyDescent="0.35">
      <c r="A811" t="s">
        <v>703</v>
      </c>
    </row>
    <row r="812" spans="1:1" x14ac:dyDescent="0.35">
      <c r="A812" t="s">
        <v>703</v>
      </c>
    </row>
    <row r="813" spans="1:1" x14ac:dyDescent="0.35">
      <c r="A813" t="s">
        <v>704</v>
      </c>
    </row>
    <row r="814" spans="1:1" x14ac:dyDescent="0.35">
      <c r="A814" t="s">
        <v>705</v>
      </c>
    </row>
    <row r="815" spans="1:1" x14ac:dyDescent="0.35">
      <c r="A815" t="s">
        <v>706</v>
      </c>
    </row>
    <row r="816" spans="1:1" x14ac:dyDescent="0.35">
      <c r="A816" t="s">
        <v>707</v>
      </c>
    </row>
    <row r="817" spans="1:1" x14ac:dyDescent="0.35">
      <c r="A817" t="s">
        <v>705</v>
      </c>
    </row>
    <row r="818" spans="1:1" x14ac:dyDescent="0.35">
      <c r="A818" t="s">
        <v>708</v>
      </c>
    </row>
    <row r="819" spans="1:1" x14ac:dyDescent="0.35">
      <c r="A819" t="s">
        <v>709</v>
      </c>
    </row>
    <row r="820" spans="1:1" x14ac:dyDescent="0.35">
      <c r="A820" t="s">
        <v>710</v>
      </c>
    </row>
    <row r="821" spans="1:1" x14ac:dyDescent="0.35">
      <c r="A821" t="s">
        <v>711</v>
      </c>
    </row>
    <row r="822" spans="1:1" x14ac:dyDescent="0.35">
      <c r="A822" t="s">
        <v>712</v>
      </c>
    </row>
    <row r="823" spans="1:1" x14ac:dyDescent="0.35">
      <c r="A823" t="s">
        <v>713</v>
      </c>
    </row>
    <row r="824" spans="1:1" x14ac:dyDescent="0.35">
      <c r="A824" t="s">
        <v>714</v>
      </c>
    </row>
    <row r="825" spans="1:1" x14ac:dyDescent="0.35">
      <c r="A825" t="s">
        <v>715</v>
      </c>
    </row>
    <row r="826" spans="1:1" x14ac:dyDescent="0.35">
      <c r="A826" t="s">
        <v>716</v>
      </c>
    </row>
    <row r="827" spans="1:1" x14ac:dyDescent="0.35">
      <c r="A827" t="s">
        <v>710</v>
      </c>
    </row>
    <row r="828" spans="1:1" x14ac:dyDescent="0.35">
      <c r="A828" t="s">
        <v>717</v>
      </c>
    </row>
    <row r="829" spans="1:1" x14ac:dyDescent="0.35">
      <c r="A829" t="s">
        <v>718</v>
      </c>
    </row>
    <row r="830" spans="1:1" x14ac:dyDescent="0.35">
      <c r="A830" t="s">
        <v>719</v>
      </c>
    </row>
    <row r="831" spans="1:1" x14ac:dyDescent="0.35">
      <c r="A831" t="s">
        <v>720</v>
      </c>
    </row>
    <row r="832" spans="1:1" x14ac:dyDescent="0.35">
      <c r="A832" t="s">
        <v>718</v>
      </c>
    </row>
    <row r="833" spans="1:1" x14ac:dyDescent="0.35">
      <c r="A833" t="s">
        <v>721</v>
      </c>
    </row>
    <row r="834" spans="1:1" x14ac:dyDescent="0.35">
      <c r="A834" t="s">
        <v>721</v>
      </c>
    </row>
    <row r="835" spans="1:1" x14ac:dyDescent="0.35">
      <c r="A835" t="s">
        <v>722</v>
      </c>
    </row>
    <row r="836" spans="1:1" x14ac:dyDescent="0.35">
      <c r="A836" t="s">
        <v>723</v>
      </c>
    </row>
    <row r="837" spans="1:1" x14ac:dyDescent="0.35">
      <c r="A837" t="s">
        <v>724</v>
      </c>
    </row>
    <row r="838" spans="1:1" x14ac:dyDescent="0.35">
      <c r="A838" t="s">
        <v>723</v>
      </c>
    </row>
    <row r="839" spans="1:1" x14ac:dyDescent="0.35">
      <c r="A839" t="s">
        <v>725</v>
      </c>
    </row>
    <row r="840" spans="1:1" x14ac:dyDescent="0.35">
      <c r="A840" t="s">
        <v>726</v>
      </c>
    </row>
    <row r="841" spans="1:1" x14ac:dyDescent="0.35">
      <c r="A841" t="s">
        <v>727</v>
      </c>
    </row>
    <row r="842" spans="1:1" x14ac:dyDescent="0.35">
      <c r="A842" t="s">
        <v>728</v>
      </c>
    </row>
    <row r="843" spans="1:1" x14ac:dyDescent="0.35">
      <c r="A843" t="s">
        <v>729</v>
      </c>
    </row>
    <row r="844" spans="1:1" x14ac:dyDescent="0.35">
      <c r="A844" t="s">
        <v>730</v>
      </c>
    </row>
    <row r="845" spans="1:1" x14ac:dyDescent="0.35">
      <c r="A845" t="s">
        <v>727</v>
      </c>
    </row>
    <row r="846" spans="1:1" x14ac:dyDescent="0.35">
      <c r="A846" t="s">
        <v>731</v>
      </c>
    </row>
    <row r="847" spans="1:1" x14ac:dyDescent="0.35">
      <c r="A847" t="s">
        <v>732</v>
      </c>
    </row>
    <row r="848" spans="1:1" x14ac:dyDescent="0.35">
      <c r="A848" t="s">
        <v>733</v>
      </c>
    </row>
    <row r="849" spans="1:1" x14ac:dyDescent="0.35">
      <c r="A849" t="s">
        <v>732</v>
      </c>
    </row>
    <row r="850" spans="1:1" x14ac:dyDescent="0.35">
      <c r="A850" t="s">
        <v>734</v>
      </c>
    </row>
    <row r="851" spans="1:1" x14ac:dyDescent="0.35">
      <c r="A851" t="s">
        <v>735</v>
      </c>
    </row>
    <row r="852" spans="1:1" x14ac:dyDescent="0.35">
      <c r="A852" t="s">
        <v>736</v>
      </c>
    </row>
    <row r="853" spans="1:1" x14ac:dyDescent="0.35">
      <c r="A853" t="s">
        <v>734</v>
      </c>
    </row>
    <row r="854" spans="1:1" x14ac:dyDescent="0.35">
      <c r="A854" t="s">
        <v>735</v>
      </c>
    </row>
    <row r="855" spans="1:1" x14ac:dyDescent="0.35">
      <c r="A855" t="s">
        <v>737</v>
      </c>
    </row>
    <row r="856" spans="1:1" x14ac:dyDescent="0.35">
      <c r="A856" t="s">
        <v>738</v>
      </c>
    </row>
    <row r="857" spans="1:1" x14ac:dyDescent="0.35">
      <c r="A857" t="s">
        <v>739</v>
      </c>
    </row>
    <row r="858" spans="1:1" x14ac:dyDescent="0.35">
      <c r="A858" t="s">
        <v>738</v>
      </c>
    </row>
    <row r="859" spans="1:1" x14ac:dyDescent="0.35">
      <c r="A859" t="s">
        <v>740</v>
      </c>
    </row>
    <row r="860" spans="1:1" x14ac:dyDescent="0.35">
      <c r="A860" t="s">
        <v>740</v>
      </c>
    </row>
    <row r="861" spans="1:1" x14ac:dyDescent="0.35">
      <c r="A861" t="s">
        <v>741</v>
      </c>
    </row>
    <row r="862" spans="1:1" x14ac:dyDescent="0.35">
      <c r="A862" t="s">
        <v>742</v>
      </c>
    </row>
    <row r="863" spans="1:1" x14ac:dyDescent="0.35">
      <c r="A863" t="s">
        <v>743</v>
      </c>
    </row>
    <row r="864" spans="1:1" x14ac:dyDescent="0.35">
      <c r="A864" t="s">
        <v>744</v>
      </c>
    </row>
    <row r="865" spans="1:1" x14ac:dyDescent="0.35">
      <c r="A865" t="s">
        <v>745</v>
      </c>
    </row>
    <row r="866" spans="1:1" x14ac:dyDescent="0.35">
      <c r="A866" t="s">
        <v>746</v>
      </c>
    </row>
    <row r="867" spans="1:1" x14ac:dyDescent="0.35">
      <c r="A867" t="s">
        <v>747</v>
      </c>
    </row>
    <row r="868" spans="1:1" x14ac:dyDescent="0.35">
      <c r="A868" t="s">
        <v>748</v>
      </c>
    </row>
    <row r="869" spans="1:1" x14ac:dyDescent="0.35">
      <c r="A869" t="s">
        <v>749</v>
      </c>
    </row>
    <row r="870" spans="1:1" x14ac:dyDescent="0.35">
      <c r="A870" t="s">
        <v>750</v>
      </c>
    </row>
    <row r="871" spans="1:1" x14ac:dyDescent="0.35">
      <c r="A871" t="s">
        <v>745</v>
      </c>
    </row>
    <row r="872" spans="1:1" x14ac:dyDescent="0.35">
      <c r="A872" t="s">
        <v>746</v>
      </c>
    </row>
    <row r="873" spans="1:1" x14ac:dyDescent="0.35">
      <c r="A873" t="s">
        <v>747</v>
      </c>
    </row>
    <row r="874" spans="1:1" x14ac:dyDescent="0.35">
      <c r="A874" t="s">
        <v>751</v>
      </c>
    </row>
    <row r="875" spans="1:1" x14ac:dyDescent="0.35">
      <c r="A875" t="s">
        <v>752</v>
      </c>
    </row>
    <row r="876" spans="1:1" x14ac:dyDescent="0.35">
      <c r="A876" t="s">
        <v>751</v>
      </c>
    </row>
    <row r="877" spans="1:1" x14ac:dyDescent="0.35">
      <c r="A877" t="s">
        <v>752</v>
      </c>
    </row>
    <row r="878" spans="1:1" x14ac:dyDescent="0.35">
      <c r="A878" t="s">
        <v>753</v>
      </c>
    </row>
    <row r="879" spans="1:1" x14ac:dyDescent="0.35">
      <c r="A879" t="s">
        <v>754</v>
      </c>
    </row>
    <row r="880" spans="1:1" x14ac:dyDescent="0.35">
      <c r="A880" t="s">
        <v>755</v>
      </c>
    </row>
    <row r="881" spans="1:1" x14ac:dyDescent="0.35">
      <c r="A881" t="s">
        <v>756</v>
      </c>
    </row>
    <row r="882" spans="1:1" x14ac:dyDescent="0.35">
      <c r="A882" t="s">
        <v>756</v>
      </c>
    </row>
    <row r="883" spans="1:1" x14ac:dyDescent="0.35">
      <c r="A883" t="s">
        <v>757</v>
      </c>
    </row>
    <row r="884" spans="1:1" x14ac:dyDescent="0.35">
      <c r="A884" t="s">
        <v>758</v>
      </c>
    </row>
    <row r="885" spans="1:1" x14ac:dyDescent="0.35">
      <c r="A885" t="s">
        <v>759</v>
      </c>
    </row>
    <row r="886" spans="1:1" x14ac:dyDescent="0.35">
      <c r="A886" t="s">
        <v>760</v>
      </c>
    </row>
    <row r="887" spans="1:1" x14ac:dyDescent="0.35">
      <c r="A887" t="s">
        <v>757</v>
      </c>
    </row>
    <row r="888" spans="1:1" x14ac:dyDescent="0.35">
      <c r="A888" t="s">
        <v>758</v>
      </c>
    </row>
    <row r="889" spans="1:1" x14ac:dyDescent="0.35">
      <c r="A889" t="s">
        <v>761</v>
      </c>
    </row>
    <row r="890" spans="1:1" x14ac:dyDescent="0.35">
      <c r="A890" t="s">
        <v>762</v>
      </c>
    </row>
    <row r="891" spans="1:1" x14ac:dyDescent="0.35">
      <c r="A891" t="s">
        <v>761</v>
      </c>
    </row>
    <row r="892" spans="1:1" x14ac:dyDescent="0.35">
      <c r="A892" t="s">
        <v>762</v>
      </c>
    </row>
    <row r="893" spans="1:1" x14ac:dyDescent="0.35">
      <c r="A893" t="s">
        <v>763</v>
      </c>
    </row>
    <row r="894" spans="1:1" x14ac:dyDescent="0.35">
      <c r="A894" t="s">
        <v>764</v>
      </c>
    </row>
    <row r="895" spans="1:1" x14ac:dyDescent="0.35">
      <c r="A895" t="s">
        <v>765</v>
      </c>
    </row>
    <row r="896" spans="1:1" x14ac:dyDescent="0.35">
      <c r="A896" t="s">
        <v>763</v>
      </c>
    </row>
    <row r="897" spans="1:1" x14ac:dyDescent="0.35">
      <c r="A897" t="s">
        <v>766</v>
      </c>
    </row>
    <row r="898" spans="1:1" x14ac:dyDescent="0.35">
      <c r="A898" t="s">
        <v>767</v>
      </c>
    </row>
    <row r="899" spans="1:1" x14ac:dyDescent="0.35">
      <c r="A899" t="s">
        <v>766</v>
      </c>
    </row>
    <row r="900" spans="1:1" x14ac:dyDescent="0.35">
      <c r="A900" t="s">
        <v>768</v>
      </c>
    </row>
    <row r="901" spans="1:1" x14ac:dyDescent="0.35">
      <c r="A901" t="s">
        <v>768</v>
      </c>
    </row>
    <row r="902" spans="1:1" x14ac:dyDescent="0.35">
      <c r="A902" t="s">
        <v>769</v>
      </c>
    </row>
    <row r="903" spans="1:1" x14ac:dyDescent="0.35">
      <c r="A903" t="s">
        <v>770</v>
      </c>
    </row>
    <row r="904" spans="1:1" x14ac:dyDescent="0.35">
      <c r="A904" t="s">
        <v>769</v>
      </c>
    </row>
    <row r="905" spans="1:1" x14ac:dyDescent="0.35">
      <c r="A905" t="s">
        <v>771</v>
      </c>
    </row>
    <row r="906" spans="1:1" x14ac:dyDescent="0.35">
      <c r="A906" t="s">
        <v>772</v>
      </c>
    </row>
    <row r="907" spans="1:1" x14ac:dyDescent="0.35">
      <c r="A907" t="s">
        <v>772</v>
      </c>
    </row>
    <row r="908" spans="1:1" x14ac:dyDescent="0.35">
      <c r="A908" t="s">
        <v>773</v>
      </c>
    </row>
    <row r="909" spans="1:1" x14ac:dyDescent="0.35">
      <c r="A909" t="s">
        <v>774</v>
      </c>
    </row>
    <row r="910" spans="1:1" x14ac:dyDescent="0.35">
      <c r="A910" t="s">
        <v>775</v>
      </c>
    </row>
    <row r="911" spans="1:1" x14ac:dyDescent="0.35">
      <c r="A911" t="s">
        <v>773</v>
      </c>
    </row>
    <row r="912" spans="1:1" x14ac:dyDescent="0.35">
      <c r="A912" t="s">
        <v>776</v>
      </c>
    </row>
    <row r="913" spans="1:1" x14ac:dyDescent="0.35">
      <c r="A913" t="s">
        <v>777</v>
      </c>
    </row>
    <row r="914" spans="1:1" x14ac:dyDescent="0.35">
      <c r="A914" t="s">
        <v>778</v>
      </c>
    </row>
    <row r="915" spans="1:1" x14ac:dyDescent="0.35">
      <c r="A915" t="s">
        <v>779</v>
      </c>
    </row>
    <row r="916" spans="1:1" x14ac:dyDescent="0.35">
      <c r="A916" t="s">
        <v>780</v>
      </c>
    </row>
    <row r="917" spans="1:1" x14ac:dyDescent="0.35">
      <c r="A917" t="s">
        <v>781</v>
      </c>
    </row>
    <row r="918" spans="1:1" x14ac:dyDescent="0.35">
      <c r="A918" t="s">
        <v>782</v>
      </c>
    </row>
    <row r="919" spans="1:1" x14ac:dyDescent="0.35">
      <c r="A919" t="s">
        <v>777</v>
      </c>
    </row>
    <row r="920" spans="1:1" x14ac:dyDescent="0.35">
      <c r="A920" t="s">
        <v>778</v>
      </c>
    </row>
    <row r="921" spans="1:1" x14ac:dyDescent="0.35">
      <c r="A921" t="s">
        <v>779</v>
      </c>
    </row>
    <row r="922" spans="1:1" x14ac:dyDescent="0.35">
      <c r="A922" t="s">
        <v>780</v>
      </c>
    </row>
    <row r="923" spans="1:1" x14ac:dyDescent="0.35">
      <c r="A923" t="s">
        <v>783</v>
      </c>
    </row>
    <row r="924" spans="1:1" x14ac:dyDescent="0.35">
      <c r="A924" t="s">
        <v>784</v>
      </c>
    </row>
    <row r="925" spans="1:1" x14ac:dyDescent="0.35">
      <c r="A925" t="s">
        <v>785</v>
      </c>
    </row>
    <row r="926" spans="1:1" x14ac:dyDescent="0.35">
      <c r="A926" t="s">
        <v>786</v>
      </c>
    </row>
    <row r="927" spans="1:1" x14ac:dyDescent="0.35">
      <c r="A927" t="s">
        <v>787</v>
      </c>
    </row>
    <row r="928" spans="1:1" x14ac:dyDescent="0.35">
      <c r="A928" t="s">
        <v>788</v>
      </c>
    </row>
    <row r="929" spans="1:1" x14ac:dyDescent="0.35">
      <c r="A929" t="s">
        <v>783</v>
      </c>
    </row>
    <row r="930" spans="1:1" x14ac:dyDescent="0.35">
      <c r="A930" t="s">
        <v>784</v>
      </c>
    </row>
    <row r="931" spans="1:1" x14ac:dyDescent="0.35">
      <c r="A931" t="s">
        <v>785</v>
      </c>
    </row>
    <row r="932" spans="1:1" x14ac:dyDescent="0.35">
      <c r="A932" t="s">
        <v>786</v>
      </c>
    </row>
    <row r="933" spans="1:1" x14ac:dyDescent="0.35">
      <c r="A933" t="s">
        <v>787</v>
      </c>
    </row>
    <row r="934" spans="1:1" x14ac:dyDescent="0.35">
      <c r="A934" t="s">
        <v>788</v>
      </c>
    </row>
    <row r="935" spans="1:1" x14ac:dyDescent="0.35">
      <c r="A935" t="s">
        <v>789</v>
      </c>
    </row>
    <row r="936" spans="1:1" x14ac:dyDescent="0.35">
      <c r="A936" t="s">
        <v>790</v>
      </c>
    </row>
    <row r="937" spans="1:1" x14ac:dyDescent="0.35">
      <c r="A937" t="s">
        <v>791</v>
      </c>
    </row>
    <row r="938" spans="1:1" x14ac:dyDescent="0.35">
      <c r="A938" t="s">
        <v>792</v>
      </c>
    </row>
    <row r="939" spans="1:1" x14ac:dyDescent="0.35">
      <c r="A939" t="s">
        <v>793</v>
      </c>
    </row>
    <row r="940" spans="1:1" x14ac:dyDescent="0.35">
      <c r="A940" t="s">
        <v>794</v>
      </c>
    </row>
    <row r="941" spans="1:1" x14ac:dyDescent="0.35">
      <c r="A941" t="s">
        <v>795</v>
      </c>
    </row>
    <row r="942" spans="1:1" x14ac:dyDescent="0.35">
      <c r="A942" t="s">
        <v>796</v>
      </c>
    </row>
    <row r="943" spans="1:1" x14ac:dyDescent="0.35">
      <c r="A943" t="s">
        <v>797</v>
      </c>
    </row>
    <row r="944" spans="1:1" x14ac:dyDescent="0.35">
      <c r="A944" t="s">
        <v>798</v>
      </c>
    </row>
    <row r="945" spans="1:1" x14ac:dyDescent="0.35">
      <c r="A945" t="s">
        <v>799</v>
      </c>
    </row>
    <row r="946" spans="1:1" x14ac:dyDescent="0.35">
      <c r="A946" t="s">
        <v>800</v>
      </c>
    </row>
    <row r="947" spans="1:1" x14ac:dyDescent="0.35">
      <c r="A947" t="s">
        <v>801</v>
      </c>
    </row>
    <row r="948" spans="1:1" x14ac:dyDescent="0.35">
      <c r="A948" t="s">
        <v>802</v>
      </c>
    </row>
    <row r="949" spans="1:1" x14ac:dyDescent="0.35">
      <c r="A949" t="s">
        <v>803</v>
      </c>
    </row>
    <row r="950" spans="1:1" x14ac:dyDescent="0.35">
      <c r="A950" t="s">
        <v>804</v>
      </c>
    </row>
    <row r="951" spans="1:1" x14ac:dyDescent="0.35">
      <c r="A951" t="s">
        <v>805</v>
      </c>
    </row>
    <row r="952" spans="1:1" x14ac:dyDescent="0.35">
      <c r="A952" t="s">
        <v>806</v>
      </c>
    </row>
    <row r="953" spans="1:1" x14ac:dyDescent="0.35">
      <c r="A953" t="s">
        <v>807</v>
      </c>
    </row>
    <row r="954" spans="1:1" x14ac:dyDescent="0.35">
      <c r="A954" t="s">
        <v>808</v>
      </c>
    </row>
    <row r="955" spans="1:1" x14ac:dyDescent="0.35">
      <c r="A955" t="s">
        <v>809</v>
      </c>
    </row>
    <row r="956" spans="1:1" x14ac:dyDescent="0.35">
      <c r="A956" t="s">
        <v>810</v>
      </c>
    </row>
    <row r="957" spans="1:1" x14ac:dyDescent="0.35">
      <c r="A957" t="s">
        <v>811</v>
      </c>
    </row>
    <row r="958" spans="1:1" x14ac:dyDescent="0.35">
      <c r="A958" t="s">
        <v>812</v>
      </c>
    </row>
    <row r="959" spans="1:1" x14ac:dyDescent="0.35">
      <c r="A959" t="s">
        <v>813</v>
      </c>
    </row>
    <row r="960" spans="1:1" x14ac:dyDescent="0.35">
      <c r="A960" t="s">
        <v>814</v>
      </c>
    </row>
    <row r="961" spans="1:1" x14ac:dyDescent="0.35">
      <c r="A961" t="s">
        <v>815</v>
      </c>
    </row>
    <row r="962" spans="1:1" x14ac:dyDescent="0.35">
      <c r="A962" t="s">
        <v>816</v>
      </c>
    </row>
    <row r="963" spans="1:1" x14ac:dyDescent="0.35">
      <c r="A963" t="s">
        <v>817</v>
      </c>
    </row>
    <row r="964" spans="1:1" x14ac:dyDescent="0.35">
      <c r="A964" t="s">
        <v>818</v>
      </c>
    </row>
    <row r="965" spans="1:1" x14ac:dyDescent="0.35">
      <c r="A965" t="s">
        <v>819</v>
      </c>
    </row>
    <row r="966" spans="1:1" x14ac:dyDescent="0.35">
      <c r="A966" t="s">
        <v>820</v>
      </c>
    </row>
    <row r="967" spans="1:1" x14ac:dyDescent="0.35">
      <c r="A967" t="s">
        <v>821</v>
      </c>
    </row>
    <row r="968" spans="1:1" x14ac:dyDescent="0.35">
      <c r="A968" t="s">
        <v>822</v>
      </c>
    </row>
    <row r="969" spans="1:1" x14ac:dyDescent="0.35">
      <c r="A969" t="s">
        <v>823</v>
      </c>
    </row>
    <row r="970" spans="1:1" x14ac:dyDescent="0.35">
      <c r="A970" t="s">
        <v>824</v>
      </c>
    </row>
    <row r="971" spans="1:1" x14ac:dyDescent="0.35">
      <c r="A971" t="s">
        <v>825</v>
      </c>
    </row>
    <row r="972" spans="1:1" x14ac:dyDescent="0.35">
      <c r="A972" t="s">
        <v>826</v>
      </c>
    </row>
    <row r="973" spans="1:1" x14ac:dyDescent="0.35">
      <c r="A973" t="s">
        <v>826</v>
      </c>
    </row>
    <row r="974" spans="1:1" x14ac:dyDescent="0.35">
      <c r="A974" t="s">
        <v>827</v>
      </c>
    </row>
    <row r="975" spans="1:1" x14ac:dyDescent="0.35">
      <c r="A975" t="s">
        <v>828</v>
      </c>
    </row>
    <row r="976" spans="1:1" x14ac:dyDescent="0.35">
      <c r="A976" t="s">
        <v>829</v>
      </c>
    </row>
    <row r="977" spans="1:1" x14ac:dyDescent="0.35">
      <c r="A977" t="s">
        <v>830</v>
      </c>
    </row>
    <row r="978" spans="1:1" x14ac:dyDescent="0.35">
      <c r="A978" t="s">
        <v>831</v>
      </c>
    </row>
    <row r="979" spans="1:1" x14ac:dyDescent="0.35">
      <c r="A979" t="s">
        <v>829</v>
      </c>
    </row>
    <row r="980" spans="1:1" x14ac:dyDescent="0.35">
      <c r="A980" t="s">
        <v>832</v>
      </c>
    </row>
    <row r="981" spans="1:1" x14ac:dyDescent="0.35">
      <c r="A981" t="s">
        <v>833</v>
      </c>
    </row>
    <row r="982" spans="1:1" x14ac:dyDescent="0.35">
      <c r="A982" t="s">
        <v>834</v>
      </c>
    </row>
    <row r="983" spans="1:1" x14ac:dyDescent="0.35">
      <c r="A983" t="s">
        <v>835</v>
      </c>
    </row>
    <row r="984" spans="1:1" x14ac:dyDescent="0.35">
      <c r="A984" t="s">
        <v>836</v>
      </c>
    </row>
    <row r="985" spans="1:1" x14ac:dyDescent="0.35">
      <c r="A985" t="s">
        <v>837</v>
      </c>
    </row>
    <row r="986" spans="1:1" x14ac:dyDescent="0.35">
      <c r="A986" t="s">
        <v>834</v>
      </c>
    </row>
    <row r="987" spans="1:1" x14ac:dyDescent="0.35">
      <c r="A987" t="s">
        <v>838</v>
      </c>
    </row>
    <row r="988" spans="1:1" x14ac:dyDescent="0.35">
      <c r="A988" t="s">
        <v>839</v>
      </c>
    </row>
    <row r="989" spans="1:1" x14ac:dyDescent="0.35">
      <c r="A989" t="s">
        <v>840</v>
      </c>
    </row>
    <row r="990" spans="1:1" x14ac:dyDescent="0.35">
      <c r="A990" t="s">
        <v>840</v>
      </c>
    </row>
    <row r="991" spans="1:1" x14ac:dyDescent="0.35">
      <c r="A991" t="s">
        <v>841</v>
      </c>
    </row>
    <row r="992" spans="1:1" x14ac:dyDescent="0.35">
      <c r="A992" t="s">
        <v>842</v>
      </c>
    </row>
    <row r="993" spans="1:1" x14ac:dyDescent="0.35">
      <c r="A993" t="s">
        <v>843</v>
      </c>
    </row>
    <row r="994" spans="1:1" x14ac:dyDescent="0.35">
      <c r="A994" t="s">
        <v>844</v>
      </c>
    </row>
    <row r="995" spans="1:1" x14ac:dyDescent="0.35">
      <c r="A995" t="s">
        <v>845</v>
      </c>
    </row>
    <row r="996" spans="1:1" x14ac:dyDescent="0.35">
      <c r="A996" t="s">
        <v>846</v>
      </c>
    </row>
    <row r="997" spans="1:1" x14ac:dyDescent="0.35">
      <c r="A997" t="s">
        <v>847</v>
      </c>
    </row>
    <row r="998" spans="1:1" x14ac:dyDescent="0.35">
      <c r="A998" t="s">
        <v>848</v>
      </c>
    </row>
    <row r="999" spans="1:1" x14ac:dyDescent="0.35">
      <c r="A999" t="s">
        <v>849</v>
      </c>
    </row>
    <row r="1000" spans="1:1" x14ac:dyDescent="0.35">
      <c r="A1000" t="s">
        <v>850</v>
      </c>
    </row>
    <row r="1001" spans="1:1" x14ac:dyDescent="0.35">
      <c r="A1001" t="s">
        <v>851</v>
      </c>
    </row>
    <row r="1002" spans="1:1" x14ac:dyDescent="0.35">
      <c r="A1002" t="s">
        <v>852</v>
      </c>
    </row>
    <row r="1003" spans="1:1" x14ac:dyDescent="0.35">
      <c r="A1003" t="s">
        <v>853</v>
      </c>
    </row>
    <row r="1004" spans="1:1" x14ac:dyDescent="0.35">
      <c r="A1004" t="s">
        <v>850</v>
      </c>
    </row>
    <row r="1005" spans="1:1" x14ac:dyDescent="0.35">
      <c r="A1005" t="s">
        <v>851</v>
      </c>
    </row>
    <row r="1006" spans="1:1" x14ac:dyDescent="0.35">
      <c r="A1006" t="s">
        <v>852</v>
      </c>
    </row>
    <row r="1007" spans="1:1" x14ac:dyDescent="0.35">
      <c r="A1007" t="s">
        <v>854</v>
      </c>
    </row>
    <row r="1008" spans="1:1" x14ac:dyDescent="0.35">
      <c r="A1008" t="s">
        <v>855</v>
      </c>
    </row>
    <row r="1009" spans="1:1" x14ac:dyDescent="0.35">
      <c r="A1009" t="s">
        <v>856</v>
      </c>
    </row>
    <row r="1010" spans="1:1" x14ac:dyDescent="0.35">
      <c r="A1010" t="s">
        <v>857</v>
      </c>
    </row>
    <row r="1011" spans="1:1" x14ac:dyDescent="0.35">
      <c r="A1011" t="s">
        <v>855</v>
      </c>
    </row>
    <row r="1012" spans="1:1" x14ac:dyDescent="0.35">
      <c r="A1012" t="s">
        <v>858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0D4B5-41ED-4200-AC18-56DBF7416544}">
  <dimension ref="A1:J835"/>
  <sheetViews>
    <sheetView zoomScaleNormal="100" workbookViewId="0">
      <selection activeCell="E23" sqref="E23"/>
    </sheetView>
  </sheetViews>
  <sheetFormatPr defaultRowHeight="14.5" x14ac:dyDescent="0.35"/>
  <cols>
    <col min="1" max="1" width="14" bestFit="1" customWidth="1"/>
    <col min="2" max="2" width="13.26953125" bestFit="1" customWidth="1"/>
    <col min="3" max="4" width="11.1796875" customWidth="1"/>
    <col min="5" max="5" width="16" customWidth="1"/>
    <col min="6" max="6" width="9" customWidth="1"/>
    <col min="7" max="7" width="9.7265625" customWidth="1"/>
    <col min="8" max="8" width="11.08984375" customWidth="1"/>
    <col min="9" max="11" width="17.36328125" customWidth="1"/>
  </cols>
  <sheetData>
    <row r="1" spans="1:10" x14ac:dyDescent="0.35">
      <c r="A1" t="s">
        <v>859</v>
      </c>
      <c r="B1" t="s">
        <v>0</v>
      </c>
      <c r="C1" t="s">
        <v>860</v>
      </c>
      <c r="D1" t="s">
        <v>861</v>
      </c>
      <c r="E1" t="s">
        <v>1</v>
      </c>
      <c r="F1" t="s">
        <v>2</v>
      </c>
      <c r="G1" t="s">
        <v>3</v>
      </c>
      <c r="H1" t="s">
        <v>862</v>
      </c>
      <c r="I1" t="s">
        <v>871</v>
      </c>
      <c r="J1" t="s">
        <v>863</v>
      </c>
    </row>
    <row r="2" spans="1:10" x14ac:dyDescent="0.35">
      <c r="A2" t="s">
        <v>864</v>
      </c>
      <c r="B2" t="s">
        <v>4</v>
      </c>
      <c r="C2">
        <v>930</v>
      </c>
      <c r="D2">
        <v>335</v>
      </c>
      <c r="E2" t="s">
        <v>865</v>
      </c>
      <c r="F2">
        <v>52.828845000000001</v>
      </c>
      <c r="G2">
        <v>23.820143999999999</v>
      </c>
      <c r="H2" s="1">
        <v>45352</v>
      </c>
      <c r="I2" s="1" t="str">
        <f t="shared" ref="I2:I64" si="0">IF(H2="","",TEXT(H2,"MMMM"))</f>
        <v>March</v>
      </c>
      <c r="J2" t="s">
        <v>5</v>
      </c>
    </row>
    <row r="3" spans="1:10" hidden="1" x14ac:dyDescent="0.35">
      <c r="A3" t="s">
        <v>864</v>
      </c>
      <c r="B3" t="s">
        <v>4</v>
      </c>
      <c r="C3">
        <v>909</v>
      </c>
      <c r="D3">
        <v>311</v>
      </c>
      <c r="E3" t="s">
        <v>866</v>
      </c>
      <c r="F3">
        <v>52.830508999999999</v>
      </c>
      <c r="G3">
        <v>23.826848999999999</v>
      </c>
      <c r="H3" s="1">
        <v>45352</v>
      </c>
      <c r="I3" s="1" t="str">
        <f t="shared" si="0"/>
        <v>March</v>
      </c>
      <c r="J3" t="s">
        <v>5</v>
      </c>
    </row>
    <row r="4" spans="1:10" hidden="1" x14ac:dyDescent="0.35">
      <c r="A4" t="s">
        <v>864</v>
      </c>
      <c r="B4" t="s">
        <v>4</v>
      </c>
      <c r="C4">
        <v>581</v>
      </c>
      <c r="D4">
        <v>277</v>
      </c>
      <c r="E4" t="s">
        <v>866</v>
      </c>
      <c r="F4">
        <v>52.834108999999998</v>
      </c>
      <c r="G4">
        <v>23.807092999999998</v>
      </c>
      <c r="H4" s="1">
        <v>45352</v>
      </c>
      <c r="I4" s="1" t="str">
        <f t="shared" si="0"/>
        <v>March</v>
      </c>
      <c r="J4" t="s">
        <v>5</v>
      </c>
    </row>
    <row r="5" spans="1:10" x14ac:dyDescent="0.35">
      <c r="A5" t="s">
        <v>864</v>
      </c>
      <c r="B5" t="s">
        <v>4</v>
      </c>
      <c r="C5">
        <v>900</v>
      </c>
      <c r="D5">
        <v>295</v>
      </c>
      <c r="E5" t="s">
        <v>865</v>
      </c>
      <c r="F5">
        <v>52.834758999999998</v>
      </c>
      <c r="G5">
        <v>23.817201000000001</v>
      </c>
      <c r="H5" s="1">
        <v>45352</v>
      </c>
      <c r="I5" s="1" t="str">
        <f t="shared" si="0"/>
        <v>March</v>
      </c>
      <c r="J5" t="s">
        <v>5</v>
      </c>
    </row>
    <row r="6" spans="1:10" hidden="1" x14ac:dyDescent="0.35">
      <c r="A6" t="s">
        <v>864</v>
      </c>
      <c r="B6" t="s">
        <v>4</v>
      </c>
      <c r="C6">
        <v>620</v>
      </c>
      <c r="D6">
        <v>250</v>
      </c>
      <c r="E6" t="s">
        <v>866</v>
      </c>
      <c r="F6">
        <v>52.834960000000002</v>
      </c>
      <c r="G6">
        <v>23.82075</v>
      </c>
      <c r="H6" s="1">
        <v>45352</v>
      </c>
      <c r="I6" s="1" t="str">
        <f t="shared" si="0"/>
        <v>March</v>
      </c>
      <c r="J6" t="s">
        <v>5</v>
      </c>
    </row>
    <row r="7" spans="1:10" x14ac:dyDescent="0.35">
      <c r="A7" t="s">
        <v>867</v>
      </c>
      <c r="B7" t="s">
        <v>6</v>
      </c>
      <c r="C7">
        <v>24</v>
      </c>
      <c r="D7">
        <v>76</v>
      </c>
      <c r="E7" t="s">
        <v>865</v>
      </c>
      <c r="F7">
        <v>48.505493999999999</v>
      </c>
      <c r="G7">
        <v>20.551966</v>
      </c>
      <c r="H7" s="1">
        <v>45352</v>
      </c>
      <c r="I7" s="1" t="str">
        <f t="shared" si="0"/>
        <v>March</v>
      </c>
      <c r="J7" t="s">
        <v>5</v>
      </c>
    </row>
    <row r="8" spans="1:10" hidden="1" x14ac:dyDescent="0.35">
      <c r="A8" t="s">
        <v>867</v>
      </c>
      <c r="B8" t="s">
        <v>6</v>
      </c>
      <c r="C8">
        <v>23</v>
      </c>
      <c r="D8">
        <v>82</v>
      </c>
      <c r="E8" t="s">
        <v>866</v>
      </c>
      <c r="F8">
        <v>48.506529</v>
      </c>
      <c r="G8">
        <v>20.554548</v>
      </c>
      <c r="H8" s="1">
        <v>45352</v>
      </c>
      <c r="I8" s="1" t="str">
        <f t="shared" si="0"/>
        <v>March</v>
      </c>
      <c r="J8" t="s">
        <v>5</v>
      </c>
    </row>
    <row r="9" spans="1:10" hidden="1" x14ac:dyDescent="0.35">
      <c r="A9" t="s">
        <v>868</v>
      </c>
      <c r="B9" t="s">
        <v>4</v>
      </c>
      <c r="C9">
        <v>0.308</v>
      </c>
      <c r="D9">
        <v>22</v>
      </c>
      <c r="E9" t="s">
        <v>866</v>
      </c>
      <c r="F9">
        <v>52.241273</v>
      </c>
      <c r="G9">
        <v>21.055745000000002</v>
      </c>
      <c r="H9" s="1">
        <v>45352</v>
      </c>
      <c r="I9" s="1" t="str">
        <f t="shared" si="0"/>
        <v>March</v>
      </c>
      <c r="J9" t="s">
        <v>5</v>
      </c>
    </row>
    <row r="10" spans="1:10" hidden="1" x14ac:dyDescent="0.35">
      <c r="A10" t="s">
        <v>868</v>
      </c>
      <c r="B10" t="s">
        <v>4</v>
      </c>
      <c r="C10">
        <v>0.34799999999999998</v>
      </c>
      <c r="D10">
        <v>20</v>
      </c>
      <c r="E10" t="s">
        <v>866</v>
      </c>
      <c r="F10">
        <v>52.242060000000002</v>
      </c>
      <c r="G10">
        <v>21.057801999999999</v>
      </c>
      <c r="H10" s="1">
        <v>45352</v>
      </c>
      <c r="I10" s="1" t="str">
        <f t="shared" si="0"/>
        <v>March</v>
      </c>
      <c r="J10" t="s">
        <v>5</v>
      </c>
    </row>
    <row r="11" spans="1:10" x14ac:dyDescent="0.35">
      <c r="A11" t="s">
        <v>868</v>
      </c>
      <c r="B11" t="s">
        <v>4</v>
      </c>
      <c r="C11">
        <v>0.316</v>
      </c>
      <c r="D11">
        <v>20</v>
      </c>
      <c r="E11" t="s">
        <v>865</v>
      </c>
      <c r="F11">
        <v>52.240034999999999</v>
      </c>
      <c r="G11">
        <v>21.056187999999999</v>
      </c>
      <c r="H11" s="1">
        <v>45352</v>
      </c>
      <c r="I11" s="1" t="str">
        <f t="shared" si="0"/>
        <v>March</v>
      </c>
      <c r="J11" t="s">
        <v>5</v>
      </c>
    </row>
    <row r="12" spans="1:10" x14ac:dyDescent="0.35">
      <c r="A12" t="s">
        <v>868</v>
      </c>
      <c r="B12" t="s">
        <v>4</v>
      </c>
      <c r="C12">
        <v>0.34</v>
      </c>
      <c r="D12">
        <v>21</v>
      </c>
      <c r="E12" t="s">
        <v>865</v>
      </c>
      <c r="F12">
        <v>52.240284000000003</v>
      </c>
      <c r="G12">
        <v>21.051947999999999</v>
      </c>
      <c r="H12" s="1">
        <v>45352</v>
      </c>
      <c r="I12" s="1" t="str">
        <f t="shared" si="0"/>
        <v>March</v>
      </c>
      <c r="J12" t="s">
        <v>5</v>
      </c>
    </row>
    <row r="13" spans="1:10" x14ac:dyDescent="0.35">
      <c r="A13" t="s">
        <v>868</v>
      </c>
      <c r="B13" t="s">
        <v>4</v>
      </c>
      <c r="C13">
        <v>0.33300000000000002</v>
      </c>
      <c r="D13">
        <v>21</v>
      </c>
      <c r="E13" t="s">
        <v>865</v>
      </c>
      <c r="F13">
        <v>49.89476007476636</v>
      </c>
      <c r="G13">
        <v>11.786535411214958</v>
      </c>
      <c r="H13" s="1">
        <v>45352</v>
      </c>
      <c r="I13" s="1" t="str">
        <f t="shared" si="0"/>
        <v>March</v>
      </c>
      <c r="J13" t="s">
        <v>5</v>
      </c>
    </row>
    <row r="14" spans="1:10" hidden="1" x14ac:dyDescent="0.35">
      <c r="A14" t="s">
        <v>868</v>
      </c>
      <c r="B14" t="s">
        <v>4</v>
      </c>
      <c r="C14">
        <v>0.26500000000000001</v>
      </c>
      <c r="D14">
        <v>19</v>
      </c>
      <c r="E14" t="s">
        <v>866</v>
      </c>
      <c r="F14">
        <v>52.240560000000002</v>
      </c>
      <c r="G14">
        <v>21.055899</v>
      </c>
      <c r="H14" s="1">
        <v>45352</v>
      </c>
      <c r="I14" s="1" t="str">
        <f t="shared" si="0"/>
        <v>March</v>
      </c>
      <c r="J14" t="s">
        <v>5</v>
      </c>
    </row>
    <row r="15" spans="1:10" x14ac:dyDescent="0.35">
      <c r="A15" t="s">
        <v>868</v>
      </c>
      <c r="B15" t="s">
        <v>4</v>
      </c>
      <c r="C15">
        <v>0.32800000000000001</v>
      </c>
      <c r="D15">
        <v>20</v>
      </c>
      <c r="E15" t="s">
        <v>865</v>
      </c>
      <c r="F15">
        <v>52.241177</v>
      </c>
      <c r="G15">
        <v>21.052873000000002</v>
      </c>
      <c r="H15" s="1">
        <v>45352</v>
      </c>
      <c r="I15" s="1" t="str">
        <f t="shared" si="0"/>
        <v>March</v>
      </c>
      <c r="J15" t="s">
        <v>5</v>
      </c>
    </row>
    <row r="16" spans="1:10" hidden="1" x14ac:dyDescent="0.35">
      <c r="A16" t="s">
        <v>868</v>
      </c>
      <c r="B16" t="s">
        <v>4</v>
      </c>
      <c r="C16">
        <v>0.26100000000000001</v>
      </c>
      <c r="D16">
        <v>22</v>
      </c>
      <c r="E16" t="s">
        <v>866</v>
      </c>
      <c r="F16">
        <v>52.240833000000002</v>
      </c>
      <c r="G16">
        <v>21.052092999999999</v>
      </c>
      <c r="H16" s="1">
        <v>45352</v>
      </c>
      <c r="I16" s="1" t="str">
        <f t="shared" si="0"/>
        <v>March</v>
      </c>
      <c r="J16" t="s">
        <v>5</v>
      </c>
    </row>
    <row r="17" spans="1:10" x14ac:dyDescent="0.35">
      <c r="A17" t="s">
        <v>868</v>
      </c>
      <c r="B17" t="s">
        <v>4</v>
      </c>
      <c r="C17">
        <v>0.317</v>
      </c>
      <c r="D17">
        <v>23</v>
      </c>
      <c r="E17" t="s">
        <v>865</v>
      </c>
      <c r="F17">
        <v>52.241357999999998</v>
      </c>
      <c r="G17">
        <v>21.056352</v>
      </c>
      <c r="H17" s="1">
        <v>45352</v>
      </c>
      <c r="I17" s="1" t="str">
        <f t="shared" si="0"/>
        <v>March</v>
      </c>
      <c r="J17" t="s">
        <v>5</v>
      </c>
    </row>
    <row r="18" spans="1:10" x14ac:dyDescent="0.35">
      <c r="A18" t="s">
        <v>868</v>
      </c>
      <c r="B18" t="s">
        <v>4</v>
      </c>
      <c r="C18">
        <v>0.32800000000000001</v>
      </c>
      <c r="D18">
        <v>21</v>
      </c>
      <c r="E18" t="s">
        <v>865</v>
      </c>
      <c r="F18">
        <v>52.241905000000003</v>
      </c>
      <c r="G18">
        <v>21.050726999999998</v>
      </c>
      <c r="H18" s="1">
        <v>45352</v>
      </c>
      <c r="I18" s="1" t="str">
        <f t="shared" si="0"/>
        <v>March</v>
      </c>
      <c r="J18" t="s">
        <v>5</v>
      </c>
    </row>
    <row r="19" spans="1:10" x14ac:dyDescent="0.35">
      <c r="A19" t="s">
        <v>868</v>
      </c>
      <c r="B19" t="s">
        <v>6</v>
      </c>
      <c r="C19">
        <v>0.30499999999999999</v>
      </c>
      <c r="D19">
        <v>21</v>
      </c>
      <c r="E19" t="s">
        <v>865</v>
      </c>
      <c r="F19">
        <v>47.511400999999999</v>
      </c>
      <c r="G19">
        <v>18.949119</v>
      </c>
      <c r="H19" s="1">
        <v>45352</v>
      </c>
      <c r="I19" s="1" t="str">
        <f t="shared" si="0"/>
        <v>March</v>
      </c>
      <c r="J19" t="s">
        <v>5</v>
      </c>
    </row>
    <row r="20" spans="1:10" x14ac:dyDescent="0.35">
      <c r="A20" t="s">
        <v>868</v>
      </c>
      <c r="B20" t="s">
        <v>4</v>
      </c>
      <c r="C20">
        <v>0.32800000000000001</v>
      </c>
      <c r="D20">
        <v>23</v>
      </c>
      <c r="E20" t="s">
        <v>865</v>
      </c>
      <c r="F20">
        <v>52.24192</v>
      </c>
      <c r="G20">
        <v>21.056346999999999</v>
      </c>
      <c r="H20" s="1">
        <v>45352</v>
      </c>
      <c r="I20" s="1" t="str">
        <f t="shared" si="0"/>
        <v>March</v>
      </c>
      <c r="J20" t="s">
        <v>5</v>
      </c>
    </row>
    <row r="21" spans="1:10" x14ac:dyDescent="0.35">
      <c r="A21" t="s">
        <v>868</v>
      </c>
      <c r="B21" t="s">
        <v>7</v>
      </c>
      <c r="C21">
        <v>0.29399999999999998</v>
      </c>
      <c r="D21">
        <v>19</v>
      </c>
      <c r="E21" t="s">
        <v>865</v>
      </c>
      <c r="F21">
        <v>49.89476007476636</v>
      </c>
      <c r="G21">
        <v>11.786535411214958</v>
      </c>
      <c r="H21" s="1">
        <v>45352</v>
      </c>
      <c r="I21" s="1" t="str">
        <f t="shared" si="0"/>
        <v>March</v>
      </c>
      <c r="J21" t="s">
        <v>8</v>
      </c>
    </row>
    <row r="22" spans="1:10" hidden="1" x14ac:dyDescent="0.35">
      <c r="A22" t="s">
        <v>868</v>
      </c>
      <c r="B22" t="s">
        <v>7</v>
      </c>
      <c r="C22">
        <v>0.25</v>
      </c>
      <c r="D22">
        <v>19</v>
      </c>
      <c r="E22" t="s">
        <v>866</v>
      </c>
      <c r="F22">
        <v>49.89476007476636</v>
      </c>
      <c r="G22">
        <v>11.786535411214958</v>
      </c>
      <c r="H22" s="1">
        <v>45352</v>
      </c>
      <c r="I22" s="1" t="str">
        <f t="shared" si="0"/>
        <v>March</v>
      </c>
      <c r="J22" t="s">
        <v>8</v>
      </c>
    </row>
    <row r="23" spans="1:10" x14ac:dyDescent="0.35">
      <c r="A23" t="s">
        <v>868</v>
      </c>
      <c r="B23" t="s">
        <v>7</v>
      </c>
      <c r="C23">
        <v>0.26200000000000001</v>
      </c>
      <c r="D23">
        <v>21</v>
      </c>
      <c r="E23" t="s">
        <v>865</v>
      </c>
      <c r="F23">
        <v>49.89476007476636</v>
      </c>
      <c r="G23">
        <v>11.786535411214958</v>
      </c>
      <c r="H23" s="1">
        <v>45352</v>
      </c>
      <c r="I23" s="1" t="str">
        <f t="shared" si="0"/>
        <v>March</v>
      </c>
      <c r="J23" t="s">
        <v>8</v>
      </c>
    </row>
    <row r="24" spans="1:10" hidden="1" x14ac:dyDescent="0.35">
      <c r="A24" t="s">
        <v>868</v>
      </c>
      <c r="B24" t="s">
        <v>7</v>
      </c>
      <c r="C24">
        <v>0.26700000000000002</v>
      </c>
      <c r="D24">
        <v>21</v>
      </c>
      <c r="E24" t="s">
        <v>866</v>
      </c>
      <c r="F24">
        <v>49.89476007476636</v>
      </c>
      <c r="G24">
        <v>11.786535411214958</v>
      </c>
      <c r="H24" s="1">
        <v>45352</v>
      </c>
      <c r="I24" s="1" t="str">
        <f t="shared" si="0"/>
        <v>March</v>
      </c>
      <c r="J24" t="s">
        <v>8</v>
      </c>
    </row>
    <row r="25" spans="1:10" x14ac:dyDescent="0.35">
      <c r="A25" t="s">
        <v>868</v>
      </c>
      <c r="B25" t="s">
        <v>7</v>
      </c>
      <c r="C25">
        <v>0.26900000000000002</v>
      </c>
      <c r="D25">
        <v>22</v>
      </c>
      <c r="E25" t="s">
        <v>865</v>
      </c>
      <c r="F25">
        <v>49.89476007476636</v>
      </c>
      <c r="G25">
        <v>11.786535411214958</v>
      </c>
      <c r="H25" s="1">
        <v>45352</v>
      </c>
      <c r="I25" s="1" t="str">
        <f t="shared" si="0"/>
        <v>March</v>
      </c>
      <c r="J25" t="s">
        <v>8</v>
      </c>
    </row>
    <row r="26" spans="1:10" hidden="1" x14ac:dyDescent="0.35">
      <c r="A26" t="s">
        <v>868</v>
      </c>
      <c r="B26" t="s">
        <v>7</v>
      </c>
      <c r="C26">
        <v>0.308</v>
      </c>
      <c r="D26">
        <v>22</v>
      </c>
      <c r="E26" t="s">
        <v>866</v>
      </c>
      <c r="F26">
        <v>49.89476007476636</v>
      </c>
      <c r="G26">
        <v>11.786535411214958</v>
      </c>
      <c r="H26" s="1">
        <v>45352</v>
      </c>
      <c r="I26" s="1" t="str">
        <f t="shared" si="0"/>
        <v>March</v>
      </c>
      <c r="J26" t="s">
        <v>8</v>
      </c>
    </row>
    <row r="27" spans="1:10" x14ac:dyDescent="0.35">
      <c r="A27" t="s">
        <v>868</v>
      </c>
      <c r="B27" t="s">
        <v>7</v>
      </c>
      <c r="C27">
        <v>0.308</v>
      </c>
      <c r="D27">
        <v>19</v>
      </c>
      <c r="E27" t="s">
        <v>865</v>
      </c>
      <c r="F27">
        <v>49.89476007476636</v>
      </c>
      <c r="G27">
        <v>11.786535411214958</v>
      </c>
      <c r="H27" s="1">
        <v>45352</v>
      </c>
      <c r="I27" s="1" t="str">
        <f t="shared" si="0"/>
        <v>March</v>
      </c>
      <c r="J27" t="s">
        <v>8</v>
      </c>
    </row>
    <row r="28" spans="1:10" x14ac:dyDescent="0.35">
      <c r="A28" t="s">
        <v>868</v>
      </c>
      <c r="B28" t="s">
        <v>7</v>
      </c>
      <c r="C28">
        <v>0.27</v>
      </c>
      <c r="D28">
        <v>20</v>
      </c>
      <c r="E28" t="s">
        <v>865</v>
      </c>
      <c r="F28">
        <v>49.89476007476636</v>
      </c>
      <c r="G28">
        <v>11.786535411214958</v>
      </c>
      <c r="H28" s="1">
        <v>45352</v>
      </c>
      <c r="I28" s="1" t="str">
        <f t="shared" si="0"/>
        <v>March</v>
      </c>
      <c r="J28" t="s">
        <v>8</v>
      </c>
    </row>
    <row r="29" spans="1:10" x14ac:dyDescent="0.35">
      <c r="A29" t="s">
        <v>868</v>
      </c>
      <c r="B29" t="s">
        <v>7</v>
      </c>
      <c r="C29">
        <v>0.32</v>
      </c>
      <c r="D29">
        <v>20</v>
      </c>
      <c r="E29" t="s">
        <v>865</v>
      </c>
      <c r="F29">
        <v>49.89476007476636</v>
      </c>
      <c r="G29">
        <v>11.786535411214958</v>
      </c>
      <c r="H29" s="1">
        <v>45352</v>
      </c>
      <c r="I29" s="1" t="str">
        <f t="shared" si="0"/>
        <v>March</v>
      </c>
      <c r="J29" t="s">
        <v>8</v>
      </c>
    </row>
    <row r="30" spans="1:10" x14ac:dyDescent="0.35">
      <c r="A30" t="s">
        <v>868</v>
      </c>
      <c r="B30" t="s">
        <v>7</v>
      </c>
      <c r="C30">
        <v>0.26200000000000001</v>
      </c>
      <c r="D30">
        <v>20</v>
      </c>
      <c r="E30" t="s">
        <v>865</v>
      </c>
      <c r="F30">
        <v>49.89476007476636</v>
      </c>
      <c r="G30">
        <v>11.786535411214958</v>
      </c>
      <c r="H30" s="1">
        <v>45352</v>
      </c>
      <c r="I30" s="1" t="str">
        <f t="shared" si="0"/>
        <v>March</v>
      </c>
      <c r="J30" t="s">
        <v>8</v>
      </c>
    </row>
    <row r="31" spans="1:10" x14ac:dyDescent="0.35">
      <c r="A31" t="s">
        <v>868</v>
      </c>
      <c r="B31" t="s">
        <v>7</v>
      </c>
      <c r="C31">
        <v>0.25600000000000001</v>
      </c>
      <c r="D31">
        <v>21</v>
      </c>
      <c r="E31" t="s">
        <v>865</v>
      </c>
      <c r="F31">
        <v>49.89476007476636</v>
      </c>
      <c r="G31">
        <v>11.786535411214958</v>
      </c>
      <c r="H31" s="1">
        <v>45352</v>
      </c>
      <c r="I31" s="1" t="str">
        <f t="shared" si="0"/>
        <v>March</v>
      </c>
      <c r="J31" t="s">
        <v>8</v>
      </c>
    </row>
    <row r="32" spans="1:10" x14ac:dyDescent="0.35">
      <c r="A32" t="s">
        <v>868</v>
      </c>
      <c r="B32" t="s">
        <v>7</v>
      </c>
      <c r="C32">
        <v>0.245</v>
      </c>
      <c r="D32">
        <v>22</v>
      </c>
      <c r="E32" t="s">
        <v>865</v>
      </c>
      <c r="F32">
        <v>49.89476007476636</v>
      </c>
      <c r="G32">
        <v>11.786535411214958</v>
      </c>
      <c r="H32" s="1">
        <v>45352</v>
      </c>
      <c r="I32" s="1" t="str">
        <f t="shared" si="0"/>
        <v>March</v>
      </c>
      <c r="J32" t="s">
        <v>8</v>
      </c>
    </row>
    <row r="33" spans="1:10" x14ac:dyDescent="0.35">
      <c r="A33" t="s">
        <v>868</v>
      </c>
      <c r="B33" t="s">
        <v>7</v>
      </c>
      <c r="C33">
        <v>0.29199999999999998</v>
      </c>
      <c r="D33">
        <v>19</v>
      </c>
      <c r="E33" t="s">
        <v>865</v>
      </c>
      <c r="F33">
        <v>49.89476007476636</v>
      </c>
      <c r="G33">
        <v>11.786535411214958</v>
      </c>
      <c r="H33" s="1">
        <v>45352</v>
      </c>
      <c r="I33" s="1" t="str">
        <f t="shared" si="0"/>
        <v>March</v>
      </c>
      <c r="J33" t="s">
        <v>8</v>
      </c>
    </row>
    <row r="34" spans="1:10" hidden="1" x14ac:dyDescent="0.35">
      <c r="A34" t="s">
        <v>868</v>
      </c>
      <c r="B34" t="s">
        <v>7</v>
      </c>
      <c r="C34">
        <v>0.28899999999999998</v>
      </c>
      <c r="D34">
        <v>19</v>
      </c>
      <c r="E34" t="s">
        <v>866</v>
      </c>
      <c r="F34">
        <v>49.89476007476636</v>
      </c>
      <c r="G34">
        <v>11.786535411214958</v>
      </c>
      <c r="H34" s="1">
        <v>45352</v>
      </c>
      <c r="I34" s="1" t="str">
        <f t="shared" si="0"/>
        <v>March</v>
      </c>
      <c r="J34" t="s">
        <v>8</v>
      </c>
    </row>
    <row r="35" spans="1:10" x14ac:dyDescent="0.35">
      <c r="A35" t="s">
        <v>868</v>
      </c>
      <c r="B35" t="s">
        <v>7</v>
      </c>
      <c r="C35">
        <v>0.308</v>
      </c>
      <c r="D35">
        <v>22</v>
      </c>
      <c r="E35" t="s">
        <v>865</v>
      </c>
      <c r="F35">
        <v>49.89476007476636</v>
      </c>
      <c r="G35">
        <v>11.786535411214958</v>
      </c>
      <c r="H35" s="1">
        <v>45352</v>
      </c>
      <c r="I35" s="1" t="str">
        <f t="shared" si="0"/>
        <v>March</v>
      </c>
      <c r="J35" t="s">
        <v>8</v>
      </c>
    </row>
    <row r="36" spans="1:10" x14ac:dyDescent="0.35">
      <c r="A36" t="s">
        <v>864</v>
      </c>
      <c r="B36" t="s">
        <v>9</v>
      </c>
      <c r="C36">
        <v>420</v>
      </c>
      <c r="D36">
        <v>182</v>
      </c>
      <c r="E36" t="s">
        <v>865</v>
      </c>
      <c r="F36">
        <v>49.054684000000002</v>
      </c>
      <c r="G36">
        <v>22.417189</v>
      </c>
      <c r="H36" s="1">
        <v>45352</v>
      </c>
      <c r="I36" s="1" t="str">
        <f t="shared" si="0"/>
        <v>March</v>
      </c>
      <c r="J36" t="s">
        <v>10</v>
      </c>
    </row>
    <row r="37" spans="1:10" hidden="1" x14ac:dyDescent="0.35">
      <c r="A37" t="s">
        <v>864</v>
      </c>
      <c r="B37" t="s">
        <v>9</v>
      </c>
      <c r="C37">
        <v>511</v>
      </c>
      <c r="D37">
        <v>266</v>
      </c>
      <c r="E37" t="s">
        <v>866</v>
      </c>
      <c r="F37">
        <v>49.053629000000001</v>
      </c>
      <c r="G37">
        <v>22.421831000000001</v>
      </c>
      <c r="H37" s="1">
        <v>45352</v>
      </c>
      <c r="I37" s="1" t="str">
        <f t="shared" si="0"/>
        <v>March</v>
      </c>
      <c r="J37" t="s">
        <v>10</v>
      </c>
    </row>
    <row r="38" spans="1:10" x14ac:dyDescent="0.35">
      <c r="A38" t="s">
        <v>864</v>
      </c>
      <c r="B38" t="s">
        <v>9</v>
      </c>
      <c r="C38">
        <v>814</v>
      </c>
      <c r="D38">
        <v>288</v>
      </c>
      <c r="E38" t="s">
        <v>865</v>
      </c>
      <c r="F38">
        <v>49.053488999999999</v>
      </c>
      <c r="G38">
        <v>22.415229</v>
      </c>
      <c r="H38" s="1">
        <v>45352</v>
      </c>
      <c r="I38" s="1" t="str">
        <f t="shared" si="0"/>
        <v>March</v>
      </c>
      <c r="J38" t="s">
        <v>10</v>
      </c>
    </row>
    <row r="39" spans="1:10" hidden="1" x14ac:dyDescent="0.35">
      <c r="A39" t="s">
        <v>864</v>
      </c>
      <c r="B39" t="s">
        <v>9</v>
      </c>
      <c r="C39">
        <v>130</v>
      </c>
      <c r="D39">
        <v>141</v>
      </c>
      <c r="E39" t="s">
        <v>866</v>
      </c>
      <c r="F39">
        <v>49.054166000000002</v>
      </c>
      <c r="G39">
        <v>22.422851999999999</v>
      </c>
      <c r="H39" s="1">
        <v>45352</v>
      </c>
      <c r="I39" s="1" t="str">
        <f t="shared" si="0"/>
        <v>March</v>
      </c>
      <c r="J39" t="s">
        <v>10</v>
      </c>
    </row>
    <row r="40" spans="1:10" hidden="1" x14ac:dyDescent="0.35">
      <c r="A40" t="s">
        <v>864</v>
      </c>
      <c r="B40" t="s">
        <v>9</v>
      </c>
      <c r="C40">
        <v>390</v>
      </c>
      <c r="D40">
        <v>180</v>
      </c>
      <c r="E40" t="s">
        <v>866</v>
      </c>
      <c r="F40">
        <v>49.052731000000001</v>
      </c>
      <c r="G40">
        <v>22.422675000000002</v>
      </c>
      <c r="H40" s="1">
        <v>45352</v>
      </c>
      <c r="I40" s="1" t="str">
        <f t="shared" si="0"/>
        <v>March</v>
      </c>
      <c r="J40" t="s">
        <v>10</v>
      </c>
    </row>
    <row r="41" spans="1:10" x14ac:dyDescent="0.35">
      <c r="A41" t="s">
        <v>864</v>
      </c>
      <c r="B41" t="s">
        <v>9</v>
      </c>
      <c r="C41">
        <v>355</v>
      </c>
      <c r="D41">
        <v>179</v>
      </c>
      <c r="E41" t="s">
        <v>865</v>
      </c>
      <c r="F41">
        <v>49.055973999999999</v>
      </c>
      <c r="G41">
        <v>22.415984999999999</v>
      </c>
      <c r="H41" s="1">
        <v>45352</v>
      </c>
      <c r="I41" s="1" t="str">
        <f t="shared" si="0"/>
        <v>March</v>
      </c>
      <c r="J41" t="s">
        <v>10</v>
      </c>
    </row>
    <row r="42" spans="1:10" hidden="1" x14ac:dyDescent="0.35">
      <c r="A42" t="s">
        <v>864</v>
      </c>
      <c r="B42" t="s">
        <v>9</v>
      </c>
      <c r="C42">
        <v>566</v>
      </c>
      <c r="D42">
        <v>272</v>
      </c>
      <c r="E42" t="s">
        <v>866</v>
      </c>
      <c r="F42">
        <v>49.053342000000001</v>
      </c>
      <c r="G42">
        <v>22.423867000000001</v>
      </c>
      <c r="H42" s="1">
        <v>45352</v>
      </c>
      <c r="I42" s="1" t="str">
        <f t="shared" si="0"/>
        <v>March</v>
      </c>
      <c r="J42" t="s">
        <v>10</v>
      </c>
    </row>
    <row r="43" spans="1:10" hidden="1" x14ac:dyDescent="0.35">
      <c r="A43" t="s">
        <v>864</v>
      </c>
      <c r="B43" t="s">
        <v>9</v>
      </c>
      <c r="C43">
        <v>393</v>
      </c>
      <c r="D43">
        <v>152</v>
      </c>
      <c r="E43" t="s">
        <v>866</v>
      </c>
      <c r="F43">
        <v>49.056471000000002</v>
      </c>
      <c r="G43">
        <v>22.422474999999999</v>
      </c>
      <c r="H43" s="1">
        <v>45352</v>
      </c>
      <c r="I43" s="1" t="str">
        <f t="shared" si="0"/>
        <v>March</v>
      </c>
      <c r="J43" t="s">
        <v>10</v>
      </c>
    </row>
    <row r="44" spans="1:10" x14ac:dyDescent="0.35">
      <c r="A44" t="s">
        <v>864</v>
      </c>
      <c r="B44" t="s">
        <v>11</v>
      </c>
      <c r="C44">
        <v>823</v>
      </c>
      <c r="D44">
        <v>286</v>
      </c>
      <c r="E44" t="s">
        <v>865</v>
      </c>
      <c r="F44">
        <v>50.636564</v>
      </c>
      <c r="G44">
        <v>14.834553</v>
      </c>
      <c r="H44" s="1">
        <v>45352</v>
      </c>
      <c r="I44" s="1" t="str">
        <f t="shared" si="0"/>
        <v>March</v>
      </c>
      <c r="J44" t="s">
        <v>10</v>
      </c>
    </row>
    <row r="45" spans="1:10" x14ac:dyDescent="0.35">
      <c r="A45" t="s">
        <v>864</v>
      </c>
      <c r="B45" t="s">
        <v>9</v>
      </c>
      <c r="C45">
        <v>695</v>
      </c>
      <c r="D45">
        <v>316</v>
      </c>
      <c r="E45" t="s">
        <v>865</v>
      </c>
      <c r="F45">
        <v>49.055537000000001</v>
      </c>
      <c r="G45">
        <v>22.419428</v>
      </c>
      <c r="H45" s="1">
        <v>45352</v>
      </c>
      <c r="I45" s="1" t="str">
        <f t="shared" si="0"/>
        <v>March</v>
      </c>
      <c r="J45" t="s">
        <v>10</v>
      </c>
    </row>
    <row r="46" spans="1:10" hidden="1" x14ac:dyDescent="0.35">
      <c r="A46" t="s">
        <v>869</v>
      </c>
      <c r="B46" t="s">
        <v>11</v>
      </c>
      <c r="C46">
        <v>0.6</v>
      </c>
      <c r="D46">
        <v>20</v>
      </c>
      <c r="E46" t="s">
        <v>866</v>
      </c>
      <c r="F46">
        <v>50.636868999999997</v>
      </c>
      <c r="G46">
        <v>14.844555</v>
      </c>
      <c r="H46" s="1">
        <v>45352</v>
      </c>
      <c r="I46" s="1" t="str">
        <f t="shared" si="0"/>
        <v>March</v>
      </c>
      <c r="J46" t="s">
        <v>10</v>
      </c>
    </row>
    <row r="47" spans="1:10" x14ac:dyDescent="0.35">
      <c r="A47" t="s">
        <v>869</v>
      </c>
      <c r="B47" t="s">
        <v>11</v>
      </c>
      <c r="C47">
        <v>0.6</v>
      </c>
      <c r="D47">
        <v>16</v>
      </c>
      <c r="E47" t="s">
        <v>865</v>
      </c>
      <c r="F47">
        <v>50.644733000000002</v>
      </c>
      <c r="G47">
        <v>14.835753</v>
      </c>
      <c r="H47" s="1">
        <v>45352</v>
      </c>
      <c r="I47" s="1" t="str">
        <f t="shared" si="0"/>
        <v>March</v>
      </c>
      <c r="J47" t="s">
        <v>10</v>
      </c>
    </row>
    <row r="48" spans="1:10" x14ac:dyDescent="0.35">
      <c r="A48" t="s">
        <v>869</v>
      </c>
      <c r="B48" t="s">
        <v>11</v>
      </c>
      <c r="C48">
        <v>1.2</v>
      </c>
      <c r="D48">
        <v>31</v>
      </c>
      <c r="E48" t="s">
        <v>865</v>
      </c>
      <c r="F48">
        <v>50.635765999999997</v>
      </c>
      <c r="G48">
        <v>14.844246999999999</v>
      </c>
      <c r="H48" s="1">
        <v>45352</v>
      </c>
      <c r="I48" s="1" t="str">
        <f t="shared" si="0"/>
        <v>March</v>
      </c>
      <c r="J48" t="s">
        <v>10</v>
      </c>
    </row>
    <row r="49" spans="1:10" x14ac:dyDescent="0.35">
      <c r="A49" t="s">
        <v>868</v>
      </c>
      <c r="B49" t="s">
        <v>9</v>
      </c>
      <c r="C49">
        <v>0.27500000000000002</v>
      </c>
      <c r="D49">
        <v>23</v>
      </c>
      <c r="E49" t="s">
        <v>865</v>
      </c>
      <c r="F49">
        <v>48.185352999999999</v>
      </c>
      <c r="G49">
        <v>17.083220000000001</v>
      </c>
      <c r="H49" s="1">
        <v>45352</v>
      </c>
      <c r="I49" s="1" t="str">
        <f t="shared" si="0"/>
        <v>March</v>
      </c>
      <c r="J49" t="s">
        <v>10</v>
      </c>
    </row>
    <row r="50" spans="1:10" x14ac:dyDescent="0.35">
      <c r="A50" t="s">
        <v>869</v>
      </c>
      <c r="B50" t="s">
        <v>11</v>
      </c>
      <c r="C50">
        <v>0.9</v>
      </c>
      <c r="D50">
        <v>22</v>
      </c>
      <c r="E50" t="s">
        <v>865</v>
      </c>
      <c r="F50">
        <v>50.642842999999999</v>
      </c>
      <c r="G50">
        <v>14.841240000000001</v>
      </c>
      <c r="H50" s="1">
        <v>45352</v>
      </c>
      <c r="I50" s="1" t="str">
        <f t="shared" si="0"/>
        <v>March</v>
      </c>
      <c r="J50" t="s">
        <v>10</v>
      </c>
    </row>
    <row r="51" spans="1:10" hidden="1" x14ac:dyDescent="0.35">
      <c r="A51" t="s">
        <v>867</v>
      </c>
      <c r="B51" t="s">
        <v>6</v>
      </c>
      <c r="C51">
        <v>23</v>
      </c>
      <c r="D51">
        <v>78</v>
      </c>
      <c r="E51" t="s">
        <v>866</v>
      </c>
      <c r="F51">
        <v>48.504128000000001</v>
      </c>
      <c r="G51">
        <v>20.568479</v>
      </c>
      <c r="H51" s="1">
        <v>45353</v>
      </c>
      <c r="I51" s="1" t="str">
        <f t="shared" si="0"/>
        <v>March</v>
      </c>
      <c r="J51" t="s">
        <v>5</v>
      </c>
    </row>
    <row r="52" spans="1:10" x14ac:dyDescent="0.35">
      <c r="A52" t="s">
        <v>867</v>
      </c>
      <c r="B52" t="s">
        <v>4</v>
      </c>
      <c r="C52">
        <v>29</v>
      </c>
      <c r="D52">
        <v>94</v>
      </c>
      <c r="E52" t="s">
        <v>865</v>
      </c>
      <c r="F52">
        <v>52.809851000000002</v>
      </c>
      <c r="G52">
        <v>23.858070999999999</v>
      </c>
      <c r="H52" s="1">
        <v>45353</v>
      </c>
      <c r="I52" s="1" t="str">
        <f t="shared" si="0"/>
        <v>March</v>
      </c>
      <c r="J52" t="s">
        <v>5</v>
      </c>
    </row>
    <row r="53" spans="1:10" hidden="1" x14ac:dyDescent="0.35">
      <c r="A53" t="s">
        <v>868</v>
      </c>
      <c r="B53" t="s">
        <v>7</v>
      </c>
      <c r="C53">
        <v>0.24399999999999999</v>
      </c>
      <c r="D53">
        <v>22</v>
      </c>
      <c r="E53" t="s">
        <v>866</v>
      </c>
      <c r="F53">
        <v>49.89476007476636</v>
      </c>
      <c r="G53">
        <v>11.786535411214958</v>
      </c>
      <c r="H53" s="1">
        <v>45353</v>
      </c>
      <c r="I53" s="1" t="str">
        <f t="shared" si="0"/>
        <v>March</v>
      </c>
      <c r="J53" t="s">
        <v>8</v>
      </c>
    </row>
    <row r="54" spans="1:10" x14ac:dyDescent="0.35">
      <c r="A54" t="s">
        <v>868</v>
      </c>
      <c r="B54" t="s">
        <v>7</v>
      </c>
      <c r="C54">
        <v>0.29899999999999999</v>
      </c>
      <c r="D54">
        <v>21</v>
      </c>
      <c r="E54" t="s">
        <v>865</v>
      </c>
      <c r="F54">
        <v>49.89476007476636</v>
      </c>
      <c r="G54">
        <v>11.786535411214958</v>
      </c>
      <c r="H54" s="1">
        <v>45353</v>
      </c>
      <c r="I54" s="1" t="str">
        <f t="shared" si="0"/>
        <v>March</v>
      </c>
      <c r="J54" t="s">
        <v>8</v>
      </c>
    </row>
    <row r="55" spans="1:10" hidden="1" x14ac:dyDescent="0.35">
      <c r="A55" t="s">
        <v>868</v>
      </c>
      <c r="B55" t="s">
        <v>7</v>
      </c>
      <c r="C55">
        <v>0.28399999999999997</v>
      </c>
      <c r="D55">
        <v>20</v>
      </c>
      <c r="E55" t="s">
        <v>866</v>
      </c>
      <c r="F55">
        <v>49.89476007476636</v>
      </c>
      <c r="G55">
        <v>11.786535411214958</v>
      </c>
      <c r="H55" s="1">
        <v>45353</v>
      </c>
      <c r="I55" s="1" t="str">
        <f t="shared" si="0"/>
        <v>March</v>
      </c>
      <c r="J55" t="s">
        <v>8</v>
      </c>
    </row>
    <row r="56" spans="1:10" hidden="1" x14ac:dyDescent="0.35">
      <c r="A56" t="s">
        <v>868</v>
      </c>
      <c r="B56" t="s">
        <v>7</v>
      </c>
      <c r="C56">
        <v>0.28899999999999998</v>
      </c>
      <c r="D56">
        <v>20</v>
      </c>
      <c r="E56" t="s">
        <v>866</v>
      </c>
      <c r="F56">
        <v>49.89476007476636</v>
      </c>
      <c r="G56">
        <v>11.786535411214958</v>
      </c>
      <c r="H56" s="1">
        <v>45353</v>
      </c>
      <c r="I56" s="1" t="str">
        <f t="shared" si="0"/>
        <v>March</v>
      </c>
      <c r="J56" t="s">
        <v>8</v>
      </c>
    </row>
    <row r="57" spans="1:10" x14ac:dyDescent="0.35">
      <c r="A57" t="s">
        <v>868</v>
      </c>
      <c r="B57" t="s">
        <v>7</v>
      </c>
      <c r="C57">
        <v>0.28399999999999997</v>
      </c>
      <c r="D57">
        <v>21</v>
      </c>
      <c r="E57" t="s">
        <v>865</v>
      </c>
      <c r="F57">
        <v>49.89476007476636</v>
      </c>
      <c r="G57">
        <v>11.786535411214958</v>
      </c>
      <c r="H57" s="1">
        <v>45353</v>
      </c>
      <c r="I57" s="1" t="str">
        <f t="shared" si="0"/>
        <v>March</v>
      </c>
      <c r="J57" t="s">
        <v>8</v>
      </c>
    </row>
    <row r="58" spans="1:10" x14ac:dyDescent="0.35">
      <c r="A58" t="s">
        <v>868</v>
      </c>
      <c r="B58" t="s">
        <v>7</v>
      </c>
      <c r="C58">
        <v>0.314</v>
      </c>
      <c r="D58">
        <v>22</v>
      </c>
      <c r="E58" t="s">
        <v>865</v>
      </c>
      <c r="F58">
        <v>49.89476007476636</v>
      </c>
      <c r="G58">
        <v>11.786535411214958</v>
      </c>
      <c r="H58" s="1">
        <v>45353</v>
      </c>
      <c r="I58" s="1" t="str">
        <f t="shared" si="0"/>
        <v>March</v>
      </c>
      <c r="J58" t="s">
        <v>8</v>
      </c>
    </row>
    <row r="59" spans="1:10" hidden="1" x14ac:dyDescent="0.35">
      <c r="A59" t="s">
        <v>868</v>
      </c>
      <c r="B59" t="s">
        <v>7</v>
      </c>
      <c r="C59">
        <v>0.26200000000000001</v>
      </c>
      <c r="D59">
        <v>19</v>
      </c>
      <c r="E59" t="s">
        <v>866</v>
      </c>
      <c r="F59">
        <v>49.89476007476636</v>
      </c>
      <c r="G59">
        <v>11.786535411214958</v>
      </c>
      <c r="H59" s="1">
        <v>45353</v>
      </c>
      <c r="I59" s="1" t="str">
        <f t="shared" si="0"/>
        <v>March</v>
      </c>
      <c r="J59" t="s">
        <v>8</v>
      </c>
    </row>
    <row r="60" spans="1:10" x14ac:dyDescent="0.35">
      <c r="A60" t="s">
        <v>868</v>
      </c>
      <c r="B60" t="s">
        <v>7</v>
      </c>
      <c r="C60">
        <v>0.25800000000000001</v>
      </c>
      <c r="D60">
        <v>20</v>
      </c>
      <c r="E60" t="s">
        <v>865</v>
      </c>
      <c r="F60">
        <v>49.89476007476636</v>
      </c>
      <c r="G60">
        <v>11.786535411214958</v>
      </c>
      <c r="H60" s="1">
        <v>45353</v>
      </c>
      <c r="I60" s="1" t="str">
        <f t="shared" si="0"/>
        <v>March</v>
      </c>
      <c r="J60" t="s">
        <v>8</v>
      </c>
    </row>
    <row r="61" spans="1:10" x14ac:dyDescent="0.35">
      <c r="A61" t="s">
        <v>868</v>
      </c>
      <c r="B61" t="s">
        <v>7</v>
      </c>
      <c r="C61">
        <v>0.29699999999999999</v>
      </c>
      <c r="D61">
        <v>21</v>
      </c>
      <c r="E61" t="s">
        <v>865</v>
      </c>
      <c r="F61">
        <v>49.89476007476636</v>
      </c>
      <c r="G61">
        <v>11.786535411214958</v>
      </c>
      <c r="H61" s="1">
        <v>45353</v>
      </c>
      <c r="I61" s="1" t="str">
        <f t="shared" si="0"/>
        <v>March</v>
      </c>
      <c r="J61" t="s">
        <v>8</v>
      </c>
    </row>
    <row r="62" spans="1:10" hidden="1" x14ac:dyDescent="0.35">
      <c r="A62" t="s">
        <v>868</v>
      </c>
      <c r="B62" t="s">
        <v>7</v>
      </c>
      <c r="C62">
        <v>0.255</v>
      </c>
      <c r="D62">
        <v>22</v>
      </c>
      <c r="E62" t="s">
        <v>866</v>
      </c>
      <c r="F62">
        <v>49.89476007476636</v>
      </c>
      <c r="G62">
        <v>11.786535411214958</v>
      </c>
      <c r="H62" s="1">
        <v>45353</v>
      </c>
      <c r="I62" s="1" t="str">
        <f t="shared" si="0"/>
        <v>March</v>
      </c>
      <c r="J62" t="s">
        <v>8</v>
      </c>
    </row>
    <row r="63" spans="1:10" x14ac:dyDescent="0.35">
      <c r="A63" t="s">
        <v>868</v>
      </c>
      <c r="B63" t="s">
        <v>7</v>
      </c>
      <c r="C63">
        <v>0.28000000000000003</v>
      </c>
      <c r="D63">
        <v>22</v>
      </c>
      <c r="E63" t="s">
        <v>865</v>
      </c>
      <c r="F63">
        <v>49.89476007476636</v>
      </c>
      <c r="G63">
        <v>11.786535411214958</v>
      </c>
      <c r="H63" s="1">
        <v>45353</v>
      </c>
      <c r="I63" s="1" t="str">
        <f t="shared" si="0"/>
        <v>March</v>
      </c>
      <c r="J63" t="s">
        <v>8</v>
      </c>
    </row>
    <row r="64" spans="1:10" x14ac:dyDescent="0.35">
      <c r="A64" t="s">
        <v>868</v>
      </c>
      <c r="B64" t="s">
        <v>7</v>
      </c>
      <c r="C64">
        <v>0.29299999999999998</v>
      </c>
      <c r="D64">
        <v>22</v>
      </c>
      <c r="E64" t="s">
        <v>865</v>
      </c>
      <c r="F64">
        <v>49.89476007476636</v>
      </c>
      <c r="G64">
        <v>11.786535411214958</v>
      </c>
      <c r="H64" s="1">
        <v>45353</v>
      </c>
      <c r="I64" s="1" t="str">
        <f t="shared" si="0"/>
        <v>March</v>
      </c>
      <c r="J64" t="s">
        <v>8</v>
      </c>
    </row>
    <row r="65" spans="1:10" x14ac:dyDescent="0.35">
      <c r="A65" t="s">
        <v>868</v>
      </c>
      <c r="B65" t="s">
        <v>7</v>
      </c>
      <c r="C65">
        <v>0.29499999999999998</v>
      </c>
      <c r="D65">
        <v>20</v>
      </c>
      <c r="E65" t="s">
        <v>865</v>
      </c>
      <c r="F65">
        <v>49.89476007476636</v>
      </c>
      <c r="G65">
        <v>11.786535411214958</v>
      </c>
      <c r="H65" s="1">
        <v>45353</v>
      </c>
      <c r="I65" s="1" t="str">
        <f t="shared" ref="I65:I127" si="1">IF(H65="","",TEXT(H65,"MMMM"))</f>
        <v>March</v>
      </c>
      <c r="J65" t="s">
        <v>8</v>
      </c>
    </row>
    <row r="66" spans="1:10" x14ac:dyDescent="0.35">
      <c r="A66" t="s">
        <v>868</v>
      </c>
      <c r="B66" t="s">
        <v>7</v>
      </c>
      <c r="C66">
        <v>0.28000000000000003</v>
      </c>
      <c r="D66">
        <v>20</v>
      </c>
      <c r="E66" t="s">
        <v>865</v>
      </c>
      <c r="F66">
        <v>49.89476007476636</v>
      </c>
      <c r="G66">
        <v>11.786535411214958</v>
      </c>
      <c r="H66" s="1">
        <v>45353</v>
      </c>
      <c r="I66" s="1" t="str">
        <f t="shared" si="1"/>
        <v>March</v>
      </c>
      <c r="J66" t="s">
        <v>8</v>
      </c>
    </row>
    <row r="67" spans="1:10" x14ac:dyDescent="0.35">
      <c r="A67" t="s">
        <v>868</v>
      </c>
      <c r="B67" t="s">
        <v>7</v>
      </c>
      <c r="C67">
        <v>0.28100000000000003</v>
      </c>
      <c r="D67">
        <v>20</v>
      </c>
      <c r="E67" t="s">
        <v>865</v>
      </c>
      <c r="F67">
        <v>49.89476007476636</v>
      </c>
      <c r="G67">
        <v>11.786535411214958</v>
      </c>
      <c r="H67" s="1">
        <v>45353</v>
      </c>
      <c r="I67" s="1" t="str">
        <f t="shared" si="1"/>
        <v>March</v>
      </c>
      <c r="J67" t="s">
        <v>8</v>
      </c>
    </row>
    <row r="68" spans="1:10" hidden="1" x14ac:dyDescent="0.35">
      <c r="A68" t="s">
        <v>868</v>
      </c>
      <c r="B68" t="s">
        <v>7</v>
      </c>
      <c r="C68">
        <v>0.245</v>
      </c>
      <c r="D68">
        <v>21</v>
      </c>
      <c r="E68" t="s">
        <v>866</v>
      </c>
      <c r="F68">
        <v>49.89476007476636</v>
      </c>
      <c r="G68">
        <v>11.786535411214958</v>
      </c>
      <c r="H68" s="1">
        <v>45353</v>
      </c>
      <c r="I68" s="1" t="str">
        <f t="shared" si="1"/>
        <v>March</v>
      </c>
      <c r="J68" t="s">
        <v>8</v>
      </c>
    </row>
    <row r="69" spans="1:10" x14ac:dyDescent="0.35">
      <c r="A69" t="s">
        <v>868</v>
      </c>
      <c r="B69" t="s">
        <v>7</v>
      </c>
      <c r="C69">
        <v>0.28299999999999997</v>
      </c>
      <c r="D69">
        <v>21</v>
      </c>
      <c r="E69" t="s">
        <v>865</v>
      </c>
      <c r="F69">
        <v>49.89476007476636</v>
      </c>
      <c r="G69">
        <v>11.786535411214958</v>
      </c>
      <c r="H69" s="1">
        <v>45353</v>
      </c>
      <c r="I69" s="1" t="str">
        <f t="shared" si="1"/>
        <v>March</v>
      </c>
      <c r="J69" t="s">
        <v>8</v>
      </c>
    </row>
    <row r="70" spans="1:10" x14ac:dyDescent="0.35">
      <c r="A70" t="s">
        <v>868</v>
      </c>
      <c r="B70" t="s">
        <v>7</v>
      </c>
      <c r="C70">
        <v>0.27</v>
      </c>
      <c r="D70">
        <v>19</v>
      </c>
      <c r="E70" t="s">
        <v>865</v>
      </c>
      <c r="F70">
        <v>49.89476007476636</v>
      </c>
      <c r="G70">
        <v>11.786535411214958</v>
      </c>
      <c r="H70" s="1">
        <v>45353</v>
      </c>
      <c r="I70" s="1" t="str">
        <f t="shared" si="1"/>
        <v>March</v>
      </c>
      <c r="J70" t="s">
        <v>8</v>
      </c>
    </row>
    <row r="71" spans="1:10" x14ac:dyDescent="0.35">
      <c r="A71" t="s">
        <v>868</v>
      </c>
      <c r="B71" t="s">
        <v>7</v>
      </c>
      <c r="C71">
        <v>0.315</v>
      </c>
      <c r="D71">
        <v>22</v>
      </c>
      <c r="E71" t="s">
        <v>865</v>
      </c>
      <c r="F71">
        <v>49.89476007476636</v>
      </c>
      <c r="G71">
        <v>11.786535411214958</v>
      </c>
      <c r="H71" s="1">
        <v>45353</v>
      </c>
      <c r="I71" s="1" t="str">
        <f t="shared" si="1"/>
        <v>March</v>
      </c>
      <c r="J71" t="s">
        <v>8</v>
      </c>
    </row>
    <row r="72" spans="1:10" hidden="1" x14ac:dyDescent="0.35">
      <c r="A72" t="s">
        <v>868</v>
      </c>
      <c r="B72" t="s">
        <v>7</v>
      </c>
      <c r="C72">
        <v>0.254</v>
      </c>
      <c r="D72">
        <v>17</v>
      </c>
      <c r="E72" t="s">
        <v>866</v>
      </c>
      <c r="F72">
        <v>49.89476007476636</v>
      </c>
      <c r="G72">
        <v>11.786535411214958</v>
      </c>
      <c r="H72" s="1">
        <v>45353</v>
      </c>
      <c r="I72" s="1" t="str">
        <f t="shared" si="1"/>
        <v>March</v>
      </c>
      <c r="J72" t="s">
        <v>8</v>
      </c>
    </row>
    <row r="73" spans="1:10" x14ac:dyDescent="0.35">
      <c r="A73" t="s">
        <v>868</v>
      </c>
      <c r="B73" t="s">
        <v>7</v>
      </c>
      <c r="C73">
        <v>0.249</v>
      </c>
      <c r="D73">
        <v>19</v>
      </c>
      <c r="E73" t="s">
        <v>865</v>
      </c>
      <c r="F73">
        <v>49.89476007476636</v>
      </c>
      <c r="G73">
        <v>11.786535411214958</v>
      </c>
      <c r="H73" s="1">
        <v>45353</v>
      </c>
      <c r="I73" s="1" t="str">
        <f t="shared" si="1"/>
        <v>March</v>
      </c>
      <c r="J73" t="s">
        <v>8</v>
      </c>
    </row>
    <row r="74" spans="1:10" x14ac:dyDescent="0.35">
      <c r="A74" t="s">
        <v>868</v>
      </c>
      <c r="B74" t="s">
        <v>7</v>
      </c>
      <c r="C74">
        <v>0.29799999999999999</v>
      </c>
      <c r="D74">
        <v>21</v>
      </c>
      <c r="E74" t="s">
        <v>865</v>
      </c>
      <c r="F74">
        <v>49.89476007476636</v>
      </c>
      <c r="G74">
        <v>11.786535411214958</v>
      </c>
      <c r="H74" s="1">
        <v>45353</v>
      </c>
      <c r="I74" s="1" t="str">
        <f t="shared" si="1"/>
        <v>March</v>
      </c>
      <c r="J74" t="s">
        <v>8</v>
      </c>
    </row>
    <row r="75" spans="1:10" hidden="1" x14ac:dyDescent="0.35">
      <c r="A75" t="s">
        <v>868</v>
      </c>
      <c r="B75" t="s">
        <v>7</v>
      </c>
      <c r="C75">
        <v>0.314</v>
      </c>
      <c r="D75">
        <v>19</v>
      </c>
      <c r="E75" t="s">
        <v>866</v>
      </c>
      <c r="F75">
        <v>49.89476007476636</v>
      </c>
      <c r="G75">
        <v>11.786535411214958</v>
      </c>
      <c r="H75" s="1">
        <v>45353</v>
      </c>
      <c r="I75" s="1" t="str">
        <f t="shared" si="1"/>
        <v>March</v>
      </c>
      <c r="J75" t="s">
        <v>8</v>
      </c>
    </row>
    <row r="76" spans="1:10" x14ac:dyDescent="0.35">
      <c r="A76" t="s">
        <v>868</v>
      </c>
      <c r="B76" t="s">
        <v>7</v>
      </c>
      <c r="C76">
        <v>0.251</v>
      </c>
      <c r="D76">
        <v>19</v>
      </c>
      <c r="E76" t="s">
        <v>865</v>
      </c>
      <c r="F76">
        <v>49.89476007476636</v>
      </c>
      <c r="G76">
        <v>11.786535411214958</v>
      </c>
      <c r="H76" s="1">
        <v>45353</v>
      </c>
      <c r="I76" s="1" t="str">
        <f t="shared" si="1"/>
        <v>March</v>
      </c>
      <c r="J76" t="s">
        <v>8</v>
      </c>
    </row>
    <row r="77" spans="1:10" hidden="1" x14ac:dyDescent="0.35">
      <c r="A77" t="s">
        <v>868</v>
      </c>
      <c r="B77" t="s">
        <v>7</v>
      </c>
      <c r="C77">
        <v>0.29299999999999998</v>
      </c>
      <c r="D77">
        <v>20</v>
      </c>
      <c r="E77" t="s">
        <v>866</v>
      </c>
      <c r="F77">
        <v>49.89476007476636</v>
      </c>
      <c r="G77">
        <v>11.786535411214958</v>
      </c>
      <c r="H77" s="1">
        <v>45353</v>
      </c>
      <c r="I77" s="1" t="str">
        <f t="shared" si="1"/>
        <v>March</v>
      </c>
      <c r="J77" t="s">
        <v>8</v>
      </c>
    </row>
    <row r="78" spans="1:10" x14ac:dyDescent="0.35">
      <c r="A78" t="s">
        <v>868</v>
      </c>
      <c r="B78" t="s">
        <v>7</v>
      </c>
      <c r="C78">
        <v>0.30099999999999999</v>
      </c>
      <c r="D78">
        <v>20</v>
      </c>
      <c r="E78" t="s">
        <v>865</v>
      </c>
      <c r="F78">
        <v>49.89476007476636</v>
      </c>
      <c r="G78">
        <v>11.786535411214958</v>
      </c>
      <c r="H78" s="1">
        <v>45353</v>
      </c>
      <c r="I78" s="1" t="str">
        <f t="shared" si="1"/>
        <v>March</v>
      </c>
      <c r="J78" t="s">
        <v>8</v>
      </c>
    </row>
    <row r="79" spans="1:10" x14ac:dyDescent="0.35">
      <c r="A79" t="s">
        <v>868</v>
      </c>
      <c r="B79" t="s">
        <v>7</v>
      </c>
      <c r="C79">
        <v>0.27100000000000002</v>
      </c>
      <c r="D79">
        <v>17</v>
      </c>
      <c r="E79" t="s">
        <v>865</v>
      </c>
      <c r="F79">
        <v>49.89476007476636</v>
      </c>
      <c r="G79">
        <v>11.786535411214958</v>
      </c>
      <c r="H79" s="1">
        <v>45353</v>
      </c>
      <c r="I79" s="1" t="str">
        <f t="shared" si="1"/>
        <v>March</v>
      </c>
      <c r="J79" t="s">
        <v>8</v>
      </c>
    </row>
    <row r="80" spans="1:10" x14ac:dyDescent="0.35">
      <c r="A80" t="s">
        <v>868</v>
      </c>
      <c r="B80" t="s">
        <v>7</v>
      </c>
      <c r="C80">
        <v>0.27500000000000002</v>
      </c>
      <c r="D80">
        <v>20</v>
      </c>
      <c r="E80" t="s">
        <v>865</v>
      </c>
      <c r="F80">
        <v>49.89476007476636</v>
      </c>
      <c r="G80">
        <v>11.786535411214958</v>
      </c>
      <c r="H80" s="1">
        <v>45353</v>
      </c>
      <c r="I80" s="1" t="str">
        <f t="shared" si="1"/>
        <v>March</v>
      </c>
      <c r="J80" t="s">
        <v>8</v>
      </c>
    </row>
    <row r="81" spans="1:10" x14ac:dyDescent="0.35">
      <c r="A81" t="s">
        <v>868</v>
      </c>
      <c r="B81" t="s">
        <v>7</v>
      </c>
      <c r="C81">
        <v>0.30399999999999999</v>
      </c>
      <c r="D81">
        <v>21</v>
      </c>
      <c r="E81" t="s">
        <v>865</v>
      </c>
      <c r="F81">
        <v>49.89476007476636</v>
      </c>
      <c r="G81">
        <v>11.786535411214958</v>
      </c>
      <c r="H81" s="1">
        <v>45353</v>
      </c>
      <c r="I81" s="1" t="str">
        <f t="shared" si="1"/>
        <v>March</v>
      </c>
      <c r="J81" t="s">
        <v>8</v>
      </c>
    </row>
    <row r="82" spans="1:10" x14ac:dyDescent="0.35">
      <c r="A82" t="s">
        <v>868</v>
      </c>
      <c r="B82" t="s">
        <v>7</v>
      </c>
      <c r="C82">
        <v>0.308</v>
      </c>
      <c r="D82">
        <v>20</v>
      </c>
      <c r="E82" t="s">
        <v>865</v>
      </c>
      <c r="F82">
        <v>49.89476007476636</v>
      </c>
      <c r="G82">
        <v>11.786535411214958</v>
      </c>
      <c r="H82" s="1">
        <v>45353</v>
      </c>
      <c r="I82" s="1" t="str">
        <f t="shared" si="1"/>
        <v>March</v>
      </c>
      <c r="J82" t="s">
        <v>8</v>
      </c>
    </row>
    <row r="83" spans="1:10" x14ac:dyDescent="0.35">
      <c r="A83" t="s">
        <v>868</v>
      </c>
      <c r="B83" t="s">
        <v>7</v>
      </c>
      <c r="C83">
        <v>0.24</v>
      </c>
      <c r="D83">
        <v>21</v>
      </c>
      <c r="E83" t="s">
        <v>865</v>
      </c>
      <c r="F83">
        <v>49.89476007476636</v>
      </c>
      <c r="G83">
        <v>11.786535411214958</v>
      </c>
      <c r="H83" s="1">
        <v>45353</v>
      </c>
      <c r="I83" s="1" t="str">
        <f t="shared" si="1"/>
        <v>March</v>
      </c>
      <c r="J83" t="s">
        <v>8</v>
      </c>
    </row>
    <row r="84" spans="1:10" hidden="1" x14ac:dyDescent="0.35">
      <c r="A84" t="s">
        <v>864</v>
      </c>
      <c r="B84" t="s">
        <v>11</v>
      </c>
      <c r="C84">
        <v>402</v>
      </c>
      <c r="D84">
        <v>162</v>
      </c>
      <c r="E84" t="s">
        <v>866</v>
      </c>
      <c r="F84">
        <v>50.641007999999999</v>
      </c>
      <c r="G84">
        <v>14.836529000000001</v>
      </c>
      <c r="H84" s="1">
        <v>45353</v>
      </c>
      <c r="I84" s="1" t="str">
        <f t="shared" si="1"/>
        <v>March</v>
      </c>
      <c r="J84" t="s">
        <v>10</v>
      </c>
    </row>
    <row r="85" spans="1:10" x14ac:dyDescent="0.35">
      <c r="A85" t="s">
        <v>864</v>
      </c>
      <c r="B85" t="s">
        <v>11</v>
      </c>
      <c r="C85">
        <v>535</v>
      </c>
      <c r="D85">
        <v>295</v>
      </c>
      <c r="E85" t="s">
        <v>865</v>
      </c>
      <c r="F85">
        <v>50.643405999999999</v>
      </c>
      <c r="G85">
        <v>14.836494999999999</v>
      </c>
      <c r="H85" s="1">
        <v>45353</v>
      </c>
      <c r="I85" s="1" t="str">
        <f t="shared" si="1"/>
        <v>March</v>
      </c>
      <c r="J85" t="s">
        <v>10</v>
      </c>
    </row>
    <row r="86" spans="1:10" hidden="1" x14ac:dyDescent="0.35">
      <c r="A86" t="s">
        <v>864</v>
      </c>
      <c r="B86" t="s">
        <v>11</v>
      </c>
      <c r="C86">
        <v>572</v>
      </c>
      <c r="D86">
        <v>251</v>
      </c>
      <c r="E86" t="s">
        <v>866</v>
      </c>
      <c r="F86">
        <v>50.638945</v>
      </c>
      <c r="G86">
        <v>14.845452</v>
      </c>
      <c r="H86" s="1">
        <v>45353</v>
      </c>
      <c r="I86" s="1" t="str">
        <f t="shared" si="1"/>
        <v>March</v>
      </c>
      <c r="J86" t="s">
        <v>10</v>
      </c>
    </row>
    <row r="87" spans="1:10" hidden="1" x14ac:dyDescent="0.35">
      <c r="A87" t="s">
        <v>869</v>
      </c>
      <c r="B87" t="s">
        <v>11</v>
      </c>
      <c r="C87">
        <v>0.9</v>
      </c>
      <c r="D87">
        <v>20</v>
      </c>
      <c r="E87" t="s">
        <v>866</v>
      </c>
      <c r="F87">
        <v>50.639868999999997</v>
      </c>
      <c r="G87">
        <v>14.849702000000001</v>
      </c>
      <c r="H87" s="1">
        <v>45353</v>
      </c>
      <c r="I87" s="1" t="str">
        <f t="shared" si="1"/>
        <v>March</v>
      </c>
      <c r="J87" t="s">
        <v>10</v>
      </c>
    </row>
    <row r="88" spans="1:10" hidden="1" x14ac:dyDescent="0.35">
      <c r="A88" t="s">
        <v>869</v>
      </c>
      <c r="B88" t="s">
        <v>11</v>
      </c>
      <c r="C88">
        <v>0.7</v>
      </c>
      <c r="D88">
        <v>16</v>
      </c>
      <c r="E88" t="s">
        <v>866</v>
      </c>
      <c r="F88">
        <v>50.643039000000002</v>
      </c>
      <c r="G88">
        <v>14.840662</v>
      </c>
      <c r="H88" s="1">
        <v>45353</v>
      </c>
      <c r="I88" s="1" t="str">
        <f t="shared" si="1"/>
        <v>March</v>
      </c>
      <c r="J88" t="s">
        <v>10</v>
      </c>
    </row>
    <row r="89" spans="1:10" hidden="1" x14ac:dyDescent="0.35">
      <c r="A89" t="s">
        <v>869</v>
      </c>
      <c r="B89" t="s">
        <v>11</v>
      </c>
      <c r="C89">
        <v>0.7</v>
      </c>
      <c r="D89">
        <v>14</v>
      </c>
      <c r="E89" t="s">
        <v>866</v>
      </c>
      <c r="F89">
        <v>50.637878999999998</v>
      </c>
      <c r="G89">
        <v>14.838429</v>
      </c>
      <c r="H89" s="1">
        <v>45353</v>
      </c>
      <c r="I89" s="1" t="str">
        <f t="shared" si="1"/>
        <v>March</v>
      </c>
      <c r="J89" t="s">
        <v>10</v>
      </c>
    </row>
    <row r="90" spans="1:10" x14ac:dyDescent="0.35">
      <c r="A90" t="s">
        <v>869</v>
      </c>
      <c r="B90" t="s">
        <v>11</v>
      </c>
      <c r="C90">
        <v>1.1000000000000001</v>
      </c>
      <c r="D90">
        <v>32</v>
      </c>
      <c r="E90" t="s">
        <v>865</v>
      </c>
      <c r="F90">
        <v>50.643253999999999</v>
      </c>
      <c r="G90">
        <v>14.843730000000001</v>
      </c>
      <c r="H90" s="1">
        <v>45353</v>
      </c>
      <c r="I90" s="1" t="str">
        <f t="shared" si="1"/>
        <v>March</v>
      </c>
      <c r="J90" t="s">
        <v>10</v>
      </c>
    </row>
    <row r="91" spans="1:10" x14ac:dyDescent="0.35">
      <c r="A91" t="s">
        <v>869</v>
      </c>
      <c r="B91" t="s">
        <v>11</v>
      </c>
      <c r="C91">
        <v>0.5</v>
      </c>
      <c r="D91">
        <v>20</v>
      </c>
      <c r="E91" t="s">
        <v>865</v>
      </c>
      <c r="F91">
        <v>50.643853999999997</v>
      </c>
      <c r="G91">
        <v>14.837154999999999</v>
      </c>
      <c r="H91" s="1">
        <v>45353</v>
      </c>
      <c r="I91" s="1" t="str">
        <f t="shared" si="1"/>
        <v>March</v>
      </c>
      <c r="J91" t="s">
        <v>10</v>
      </c>
    </row>
    <row r="92" spans="1:10" hidden="1" x14ac:dyDescent="0.35">
      <c r="A92" t="s">
        <v>869</v>
      </c>
      <c r="B92" t="s">
        <v>11</v>
      </c>
      <c r="C92">
        <v>1.1000000000000001</v>
      </c>
      <c r="D92">
        <v>22</v>
      </c>
      <c r="E92" t="s">
        <v>866</v>
      </c>
      <c r="F92">
        <v>50.635584000000001</v>
      </c>
      <c r="G92">
        <v>14.837071999999999</v>
      </c>
      <c r="H92" s="1">
        <v>45353</v>
      </c>
      <c r="I92" s="1" t="str">
        <f t="shared" si="1"/>
        <v>March</v>
      </c>
      <c r="J92" t="s">
        <v>10</v>
      </c>
    </row>
    <row r="93" spans="1:10" hidden="1" x14ac:dyDescent="0.35">
      <c r="A93" t="s">
        <v>869</v>
      </c>
      <c r="B93" t="s">
        <v>11</v>
      </c>
      <c r="C93">
        <v>1</v>
      </c>
      <c r="D93">
        <v>20</v>
      </c>
      <c r="E93" t="s">
        <v>866</v>
      </c>
      <c r="F93">
        <v>50.642722999999997</v>
      </c>
      <c r="G93">
        <v>14.837229000000001</v>
      </c>
      <c r="H93" s="1">
        <v>45353</v>
      </c>
      <c r="I93" s="1" t="str">
        <f t="shared" si="1"/>
        <v>March</v>
      </c>
      <c r="J93" t="s">
        <v>10</v>
      </c>
    </row>
    <row r="94" spans="1:10" hidden="1" x14ac:dyDescent="0.35">
      <c r="A94" t="s">
        <v>869</v>
      </c>
      <c r="B94" t="s">
        <v>11</v>
      </c>
      <c r="C94">
        <v>0.7</v>
      </c>
      <c r="D94">
        <v>13</v>
      </c>
      <c r="E94" t="s">
        <v>866</v>
      </c>
      <c r="F94">
        <v>50.639389000000001</v>
      </c>
      <c r="G94">
        <v>14.8444</v>
      </c>
      <c r="H94" s="1">
        <v>45353</v>
      </c>
      <c r="I94" s="1" t="str">
        <f t="shared" si="1"/>
        <v>March</v>
      </c>
      <c r="J94" t="s">
        <v>10</v>
      </c>
    </row>
    <row r="95" spans="1:10" x14ac:dyDescent="0.35">
      <c r="A95" t="s">
        <v>867</v>
      </c>
      <c r="B95" t="s">
        <v>9</v>
      </c>
      <c r="C95">
        <v>30</v>
      </c>
      <c r="D95">
        <v>120</v>
      </c>
      <c r="E95" t="s">
        <v>865</v>
      </c>
      <c r="F95">
        <v>48.409308000000003</v>
      </c>
      <c r="G95">
        <v>18.832605999999998</v>
      </c>
      <c r="H95" s="1">
        <v>45353</v>
      </c>
      <c r="I95" s="1" t="str">
        <f t="shared" si="1"/>
        <v>March</v>
      </c>
      <c r="J95" t="s">
        <v>10</v>
      </c>
    </row>
    <row r="96" spans="1:10" hidden="1" x14ac:dyDescent="0.35">
      <c r="A96" t="s">
        <v>868</v>
      </c>
      <c r="B96" t="s">
        <v>6</v>
      </c>
      <c r="C96">
        <v>0.26200000000000001</v>
      </c>
      <c r="D96">
        <v>20</v>
      </c>
      <c r="E96" t="s">
        <v>866</v>
      </c>
      <c r="F96">
        <v>47.510798999999999</v>
      </c>
      <c r="G96">
        <v>18.945582999999999</v>
      </c>
      <c r="H96" s="1">
        <v>45354</v>
      </c>
      <c r="I96" s="1" t="str">
        <f t="shared" si="1"/>
        <v>March</v>
      </c>
      <c r="J96" t="s">
        <v>5</v>
      </c>
    </row>
    <row r="97" spans="1:10" x14ac:dyDescent="0.35">
      <c r="A97" t="s">
        <v>869</v>
      </c>
      <c r="B97" t="s">
        <v>11</v>
      </c>
      <c r="C97">
        <v>0.6</v>
      </c>
      <c r="D97">
        <v>20</v>
      </c>
      <c r="E97" t="s">
        <v>865</v>
      </c>
      <c r="F97">
        <v>50.637374999999999</v>
      </c>
      <c r="G97">
        <v>14.839784999999999</v>
      </c>
      <c r="H97" s="1">
        <v>45354</v>
      </c>
      <c r="I97" s="1" t="str">
        <f t="shared" si="1"/>
        <v>March</v>
      </c>
      <c r="J97" t="s">
        <v>10</v>
      </c>
    </row>
    <row r="98" spans="1:10" x14ac:dyDescent="0.35">
      <c r="A98" t="s">
        <v>867</v>
      </c>
      <c r="B98" t="s">
        <v>9</v>
      </c>
      <c r="C98">
        <v>28</v>
      </c>
      <c r="D98">
        <v>131</v>
      </c>
      <c r="E98" t="s">
        <v>865</v>
      </c>
      <c r="F98">
        <v>48.406303999999999</v>
      </c>
      <c r="G98">
        <v>18.842851</v>
      </c>
      <c r="H98" s="1">
        <v>45354</v>
      </c>
      <c r="I98" s="1" t="str">
        <f t="shared" si="1"/>
        <v>March</v>
      </c>
      <c r="J98" t="s">
        <v>10</v>
      </c>
    </row>
    <row r="99" spans="1:10" x14ac:dyDescent="0.35">
      <c r="A99" t="s">
        <v>868</v>
      </c>
      <c r="B99" t="s">
        <v>9</v>
      </c>
      <c r="C99">
        <v>0.28100000000000003</v>
      </c>
      <c r="D99">
        <v>18</v>
      </c>
      <c r="E99" t="s">
        <v>865</v>
      </c>
      <c r="F99">
        <v>48.187690000000003</v>
      </c>
      <c r="G99">
        <v>17.086471</v>
      </c>
      <c r="H99" s="1">
        <v>45354</v>
      </c>
      <c r="I99" s="1" t="str">
        <f t="shared" si="1"/>
        <v>March</v>
      </c>
      <c r="J99" t="s">
        <v>10</v>
      </c>
    </row>
    <row r="100" spans="1:10" hidden="1" x14ac:dyDescent="0.35">
      <c r="A100" t="s">
        <v>864</v>
      </c>
      <c r="B100" t="s">
        <v>4</v>
      </c>
      <c r="C100">
        <v>650</v>
      </c>
      <c r="D100">
        <v>285</v>
      </c>
      <c r="E100" t="s">
        <v>866</v>
      </c>
      <c r="F100">
        <v>52.834741000000001</v>
      </c>
      <c r="G100">
        <v>23.826716000000001</v>
      </c>
      <c r="H100" s="1">
        <v>45355</v>
      </c>
      <c r="I100" s="1" t="str">
        <f t="shared" si="1"/>
        <v>March</v>
      </c>
      <c r="J100" t="s">
        <v>5</v>
      </c>
    </row>
    <row r="101" spans="1:10" x14ac:dyDescent="0.35">
      <c r="A101" t="s">
        <v>869</v>
      </c>
      <c r="B101" t="s">
        <v>6</v>
      </c>
      <c r="C101">
        <v>1.1000000000000001</v>
      </c>
      <c r="D101">
        <v>24</v>
      </c>
      <c r="E101" t="s">
        <v>865</v>
      </c>
      <c r="F101">
        <v>48.503794999999997</v>
      </c>
      <c r="G101">
        <v>20.555931999999999</v>
      </c>
      <c r="H101" s="1">
        <v>45355</v>
      </c>
      <c r="I101" s="1" t="str">
        <f t="shared" si="1"/>
        <v>March</v>
      </c>
      <c r="J101" t="s">
        <v>5</v>
      </c>
    </row>
    <row r="102" spans="1:10" hidden="1" x14ac:dyDescent="0.35">
      <c r="A102" t="s">
        <v>869</v>
      </c>
      <c r="B102" t="s">
        <v>6</v>
      </c>
      <c r="C102">
        <v>1.1000000000000001</v>
      </c>
      <c r="D102">
        <v>26</v>
      </c>
      <c r="E102" t="s">
        <v>866</v>
      </c>
      <c r="F102">
        <v>48.503062</v>
      </c>
      <c r="G102">
        <v>20.551697999999998</v>
      </c>
      <c r="H102" s="1">
        <v>45355</v>
      </c>
      <c r="I102" s="1" t="str">
        <f t="shared" si="1"/>
        <v>March</v>
      </c>
      <c r="J102" t="s">
        <v>5</v>
      </c>
    </row>
    <row r="103" spans="1:10" hidden="1" x14ac:dyDescent="0.35">
      <c r="A103" t="s">
        <v>869</v>
      </c>
      <c r="B103" t="s">
        <v>6</v>
      </c>
      <c r="C103">
        <v>0.8</v>
      </c>
      <c r="D103">
        <v>18</v>
      </c>
      <c r="E103" t="s">
        <v>866</v>
      </c>
      <c r="F103">
        <v>48.503498</v>
      </c>
      <c r="G103">
        <v>20.539662</v>
      </c>
      <c r="H103" s="1">
        <v>45355</v>
      </c>
      <c r="I103" s="1" t="str">
        <f t="shared" si="1"/>
        <v>March</v>
      </c>
      <c r="J103" t="s">
        <v>5</v>
      </c>
    </row>
    <row r="104" spans="1:10" x14ac:dyDescent="0.35">
      <c r="A104" t="s">
        <v>869</v>
      </c>
      <c r="B104" t="s">
        <v>6</v>
      </c>
      <c r="C104">
        <v>1.2</v>
      </c>
      <c r="D104">
        <v>26</v>
      </c>
      <c r="E104" t="s">
        <v>865</v>
      </c>
      <c r="F104">
        <v>48.509298000000001</v>
      </c>
      <c r="G104">
        <v>20.551977000000001</v>
      </c>
      <c r="H104" s="1">
        <v>45355</v>
      </c>
      <c r="I104" s="1" t="str">
        <f t="shared" si="1"/>
        <v>March</v>
      </c>
      <c r="J104" t="s">
        <v>5</v>
      </c>
    </row>
    <row r="105" spans="1:10" x14ac:dyDescent="0.35">
      <c r="A105" t="s">
        <v>869</v>
      </c>
      <c r="B105" t="s">
        <v>4</v>
      </c>
      <c r="C105">
        <v>0.9</v>
      </c>
      <c r="D105">
        <v>22</v>
      </c>
      <c r="E105" t="s">
        <v>865</v>
      </c>
      <c r="F105">
        <v>52.214678999999997</v>
      </c>
      <c r="G105">
        <v>21.033021000000002</v>
      </c>
      <c r="H105" s="1">
        <v>45355</v>
      </c>
      <c r="I105" s="1" t="str">
        <f t="shared" si="1"/>
        <v>March</v>
      </c>
      <c r="J105" t="s">
        <v>5</v>
      </c>
    </row>
    <row r="106" spans="1:10" x14ac:dyDescent="0.35">
      <c r="A106" t="s">
        <v>867</v>
      </c>
      <c r="B106" t="s">
        <v>6</v>
      </c>
      <c r="C106">
        <v>25</v>
      </c>
      <c r="D106">
        <v>89</v>
      </c>
      <c r="E106" t="s">
        <v>865</v>
      </c>
      <c r="F106">
        <v>48.504168999999997</v>
      </c>
      <c r="G106">
        <v>20.559452</v>
      </c>
      <c r="H106" s="1">
        <v>45355</v>
      </c>
      <c r="I106" s="1" t="str">
        <f t="shared" si="1"/>
        <v>March</v>
      </c>
      <c r="J106" t="s">
        <v>5</v>
      </c>
    </row>
    <row r="107" spans="1:10" hidden="1" x14ac:dyDescent="0.35">
      <c r="A107" t="s">
        <v>868</v>
      </c>
      <c r="B107" t="s">
        <v>6</v>
      </c>
      <c r="C107">
        <v>0.28299999999999997</v>
      </c>
      <c r="D107">
        <v>18</v>
      </c>
      <c r="E107" t="s">
        <v>866</v>
      </c>
      <c r="F107">
        <v>48.505251000000001</v>
      </c>
      <c r="G107">
        <v>20.551473000000001</v>
      </c>
      <c r="H107" s="1">
        <v>45355</v>
      </c>
      <c r="I107" s="1" t="str">
        <f t="shared" si="1"/>
        <v>March</v>
      </c>
      <c r="J107" t="s">
        <v>5</v>
      </c>
    </row>
    <row r="108" spans="1:10" x14ac:dyDescent="0.35">
      <c r="A108" t="s">
        <v>868</v>
      </c>
      <c r="B108" t="s">
        <v>6</v>
      </c>
      <c r="C108">
        <v>0.307</v>
      </c>
      <c r="D108">
        <v>19</v>
      </c>
      <c r="E108" t="s">
        <v>865</v>
      </c>
      <c r="F108">
        <v>49.89476007476636</v>
      </c>
      <c r="G108">
        <v>11.786535411214958</v>
      </c>
      <c r="H108" s="1">
        <v>45355</v>
      </c>
      <c r="I108" s="1" t="str">
        <f t="shared" si="1"/>
        <v>March</v>
      </c>
      <c r="J108" t="s">
        <v>5</v>
      </c>
    </row>
    <row r="109" spans="1:10" x14ac:dyDescent="0.35">
      <c r="A109" t="s">
        <v>868</v>
      </c>
      <c r="B109" t="s">
        <v>6</v>
      </c>
      <c r="C109">
        <v>0.29599999999999999</v>
      </c>
      <c r="D109">
        <v>22</v>
      </c>
      <c r="E109" t="s">
        <v>865</v>
      </c>
      <c r="F109">
        <v>48.502583999999999</v>
      </c>
      <c r="G109">
        <v>20.532518</v>
      </c>
      <c r="H109" s="1">
        <v>45355</v>
      </c>
      <c r="I109" s="1" t="str">
        <f t="shared" si="1"/>
        <v>March</v>
      </c>
      <c r="J109" t="s">
        <v>5</v>
      </c>
    </row>
    <row r="110" spans="1:10" hidden="1" x14ac:dyDescent="0.35">
      <c r="A110" t="s">
        <v>868</v>
      </c>
      <c r="B110" t="s">
        <v>6</v>
      </c>
      <c r="C110">
        <v>0.30099999999999999</v>
      </c>
      <c r="D110">
        <v>18</v>
      </c>
      <c r="E110" t="s">
        <v>866</v>
      </c>
      <c r="F110">
        <v>48.505512000000003</v>
      </c>
      <c r="G110">
        <v>20.538038</v>
      </c>
      <c r="H110" s="1">
        <v>45355</v>
      </c>
      <c r="I110" s="1" t="str">
        <f t="shared" si="1"/>
        <v>March</v>
      </c>
      <c r="J110" t="s">
        <v>5</v>
      </c>
    </row>
    <row r="111" spans="1:10" x14ac:dyDescent="0.35">
      <c r="A111" t="s">
        <v>868</v>
      </c>
      <c r="B111" t="s">
        <v>6</v>
      </c>
      <c r="C111">
        <v>0.29499999999999998</v>
      </c>
      <c r="D111">
        <v>17</v>
      </c>
      <c r="E111" t="s">
        <v>865</v>
      </c>
      <c r="F111">
        <v>48.505780000000001</v>
      </c>
      <c r="G111">
        <v>20.546465999999999</v>
      </c>
      <c r="H111" s="1">
        <v>45355</v>
      </c>
      <c r="I111" s="1" t="str">
        <f t="shared" si="1"/>
        <v>March</v>
      </c>
      <c r="J111" t="s">
        <v>5</v>
      </c>
    </row>
    <row r="112" spans="1:10" x14ac:dyDescent="0.35">
      <c r="A112" t="s">
        <v>868</v>
      </c>
      <c r="B112" t="s">
        <v>6</v>
      </c>
      <c r="C112">
        <v>0.32</v>
      </c>
      <c r="D112">
        <v>18</v>
      </c>
      <c r="E112" t="s">
        <v>865</v>
      </c>
      <c r="F112">
        <v>48.502091</v>
      </c>
      <c r="G112">
        <v>20.547521</v>
      </c>
      <c r="H112" s="1">
        <v>45355</v>
      </c>
      <c r="I112" s="1" t="str">
        <f t="shared" si="1"/>
        <v>March</v>
      </c>
      <c r="J112" t="s">
        <v>5</v>
      </c>
    </row>
    <row r="113" spans="1:10" hidden="1" x14ac:dyDescent="0.35">
      <c r="A113" t="s">
        <v>868</v>
      </c>
      <c r="B113" t="s">
        <v>6</v>
      </c>
      <c r="C113">
        <v>0.28000000000000003</v>
      </c>
      <c r="D113">
        <v>19</v>
      </c>
      <c r="E113" t="s">
        <v>866</v>
      </c>
      <c r="F113">
        <v>48.505493999999999</v>
      </c>
      <c r="G113">
        <v>20.536362</v>
      </c>
      <c r="H113" s="1">
        <v>45355</v>
      </c>
      <c r="I113" s="1" t="str">
        <f t="shared" si="1"/>
        <v>March</v>
      </c>
      <c r="J113" t="s">
        <v>5</v>
      </c>
    </row>
    <row r="114" spans="1:10" x14ac:dyDescent="0.35">
      <c r="A114" t="s">
        <v>868</v>
      </c>
      <c r="B114" t="s">
        <v>4</v>
      </c>
      <c r="C114">
        <v>0.33</v>
      </c>
      <c r="D114">
        <v>24</v>
      </c>
      <c r="E114" t="s">
        <v>865</v>
      </c>
      <c r="F114">
        <v>52.241202999999999</v>
      </c>
      <c r="G114">
        <v>21.050999000000001</v>
      </c>
      <c r="H114" s="1">
        <v>45355</v>
      </c>
      <c r="I114" s="1" t="str">
        <f t="shared" si="1"/>
        <v>March</v>
      </c>
      <c r="J114" t="s">
        <v>5</v>
      </c>
    </row>
    <row r="115" spans="1:10" hidden="1" x14ac:dyDescent="0.35">
      <c r="A115" t="s">
        <v>868</v>
      </c>
      <c r="B115" t="s">
        <v>4</v>
      </c>
      <c r="C115">
        <v>0.3</v>
      </c>
      <c r="D115">
        <v>22</v>
      </c>
      <c r="E115" t="s">
        <v>866</v>
      </c>
      <c r="F115">
        <v>52.240017999999999</v>
      </c>
      <c r="G115">
        <v>21.052389999999999</v>
      </c>
      <c r="H115" s="1">
        <v>45355</v>
      </c>
      <c r="I115" s="1" t="str">
        <f t="shared" si="1"/>
        <v>March</v>
      </c>
      <c r="J115" t="s">
        <v>5</v>
      </c>
    </row>
    <row r="116" spans="1:10" hidden="1" x14ac:dyDescent="0.35">
      <c r="A116" t="s">
        <v>868</v>
      </c>
      <c r="B116" t="s">
        <v>4</v>
      </c>
      <c r="C116">
        <v>0.28299999999999997</v>
      </c>
      <c r="D116">
        <v>17</v>
      </c>
      <c r="E116" t="s">
        <v>866</v>
      </c>
      <c r="F116">
        <v>52.239930999999999</v>
      </c>
      <c r="G116">
        <v>21.056702999999999</v>
      </c>
      <c r="H116" s="1">
        <v>45355</v>
      </c>
      <c r="I116" s="1" t="str">
        <f t="shared" si="1"/>
        <v>March</v>
      </c>
      <c r="J116" t="s">
        <v>5</v>
      </c>
    </row>
    <row r="117" spans="1:10" x14ac:dyDescent="0.35">
      <c r="A117" t="s">
        <v>868</v>
      </c>
      <c r="B117" t="s">
        <v>4</v>
      </c>
      <c r="C117">
        <v>0.34100000000000003</v>
      </c>
      <c r="D117">
        <v>21</v>
      </c>
      <c r="E117" t="s">
        <v>865</v>
      </c>
      <c r="F117">
        <v>52.241855999999999</v>
      </c>
      <c r="G117">
        <v>21.053077999999999</v>
      </c>
      <c r="H117" s="1">
        <v>45355</v>
      </c>
      <c r="I117" s="1" t="str">
        <f t="shared" si="1"/>
        <v>March</v>
      </c>
      <c r="J117" t="s">
        <v>5</v>
      </c>
    </row>
    <row r="118" spans="1:10" x14ac:dyDescent="0.35">
      <c r="A118" t="s">
        <v>868</v>
      </c>
      <c r="B118" t="s">
        <v>4</v>
      </c>
      <c r="C118">
        <v>0.35</v>
      </c>
      <c r="D118">
        <v>24</v>
      </c>
      <c r="E118" t="s">
        <v>865</v>
      </c>
      <c r="F118">
        <v>52.240453000000002</v>
      </c>
      <c r="G118">
        <v>21.055847</v>
      </c>
      <c r="H118" s="1">
        <v>45355</v>
      </c>
      <c r="I118" s="1" t="str">
        <f t="shared" si="1"/>
        <v>March</v>
      </c>
      <c r="J118" t="s">
        <v>5</v>
      </c>
    </row>
    <row r="119" spans="1:10" x14ac:dyDescent="0.35">
      <c r="A119" t="s">
        <v>868</v>
      </c>
      <c r="B119" t="s">
        <v>4</v>
      </c>
      <c r="C119">
        <v>0.29099999999999998</v>
      </c>
      <c r="D119">
        <v>21</v>
      </c>
      <c r="E119" t="s">
        <v>865</v>
      </c>
      <c r="F119">
        <v>52.241661999999998</v>
      </c>
      <c r="G119">
        <v>21.056429999999999</v>
      </c>
      <c r="H119" s="1">
        <v>45355</v>
      </c>
      <c r="I119" s="1" t="str">
        <f t="shared" si="1"/>
        <v>March</v>
      </c>
      <c r="J119" t="s">
        <v>5</v>
      </c>
    </row>
    <row r="120" spans="1:10" hidden="1" x14ac:dyDescent="0.35">
      <c r="A120" t="s">
        <v>868</v>
      </c>
      <c r="B120" t="s">
        <v>4</v>
      </c>
      <c r="C120">
        <v>0.32900000000000001</v>
      </c>
      <c r="D120">
        <v>22</v>
      </c>
      <c r="E120" t="s">
        <v>866</v>
      </c>
      <c r="F120">
        <v>52.241638000000002</v>
      </c>
      <c r="G120">
        <v>21.055997999999999</v>
      </c>
      <c r="H120" s="1">
        <v>45355</v>
      </c>
      <c r="I120" s="1" t="str">
        <f t="shared" si="1"/>
        <v>March</v>
      </c>
      <c r="J120" t="s">
        <v>5</v>
      </c>
    </row>
    <row r="121" spans="1:10" hidden="1" x14ac:dyDescent="0.35">
      <c r="A121" t="s">
        <v>868</v>
      </c>
      <c r="B121" t="s">
        <v>6</v>
      </c>
      <c r="C121">
        <v>0.32700000000000001</v>
      </c>
      <c r="D121">
        <v>18</v>
      </c>
      <c r="E121" t="s">
        <v>866</v>
      </c>
      <c r="F121">
        <v>48.502803</v>
      </c>
      <c r="G121">
        <v>20.548667999999999</v>
      </c>
      <c r="H121" s="1">
        <v>45355</v>
      </c>
      <c r="I121" s="1" t="str">
        <f t="shared" si="1"/>
        <v>March</v>
      </c>
      <c r="J121" t="s">
        <v>5</v>
      </c>
    </row>
    <row r="122" spans="1:10" x14ac:dyDescent="0.35">
      <c r="A122" t="s">
        <v>868</v>
      </c>
      <c r="B122" t="s">
        <v>4</v>
      </c>
      <c r="C122">
        <v>0.35</v>
      </c>
      <c r="D122">
        <v>24</v>
      </c>
      <c r="E122" t="s">
        <v>865</v>
      </c>
      <c r="F122">
        <v>52.240496999999998</v>
      </c>
      <c r="G122">
        <v>21.055990999999999</v>
      </c>
      <c r="H122" s="1">
        <v>45355</v>
      </c>
      <c r="I122" s="1" t="str">
        <f t="shared" si="1"/>
        <v>March</v>
      </c>
      <c r="J122" t="s">
        <v>5</v>
      </c>
    </row>
    <row r="123" spans="1:10" x14ac:dyDescent="0.35">
      <c r="A123" t="s">
        <v>869</v>
      </c>
      <c r="B123" t="s">
        <v>11</v>
      </c>
      <c r="C123">
        <v>0.6</v>
      </c>
      <c r="D123">
        <v>17</v>
      </c>
      <c r="E123" t="s">
        <v>865</v>
      </c>
      <c r="F123">
        <v>50.635500999999998</v>
      </c>
      <c r="G123">
        <v>14.838158</v>
      </c>
      <c r="H123" s="1">
        <v>45355</v>
      </c>
      <c r="I123" s="1" t="str">
        <f t="shared" si="1"/>
        <v>March</v>
      </c>
      <c r="J123" t="s">
        <v>10</v>
      </c>
    </row>
    <row r="124" spans="1:10" hidden="1" x14ac:dyDescent="0.35">
      <c r="A124" t="s">
        <v>869</v>
      </c>
      <c r="B124" t="s">
        <v>11</v>
      </c>
      <c r="C124">
        <v>0.9</v>
      </c>
      <c r="D124">
        <v>22</v>
      </c>
      <c r="E124" t="s">
        <v>866</v>
      </c>
      <c r="F124">
        <v>50.638142000000002</v>
      </c>
      <c r="G124">
        <v>14.849689</v>
      </c>
      <c r="H124" s="1">
        <v>45355</v>
      </c>
      <c r="I124" s="1" t="str">
        <f t="shared" si="1"/>
        <v>March</v>
      </c>
      <c r="J124" t="s">
        <v>10</v>
      </c>
    </row>
    <row r="125" spans="1:10" hidden="1" x14ac:dyDescent="0.35">
      <c r="A125" t="s">
        <v>868</v>
      </c>
      <c r="B125" t="s">
        <v>11</v>
      </c>
      <c r="C125">
        <v>0.28899999999999998</v>
      </c>
      <c r="D125">
        <v>21</v>
      </c>
      <c r="E125" t="s">
        <v>866</v>
      </c>
      <c r="F125">
        <v>49.937871999999999</v>
      </c>
      <c r="G125">
        <v>14.179824999999999</v>
      </c>
      <c r="H125" s="1">
        <v>45355</v>
      </c>
      <c r="I125" s="1" t="str">
        <f t="shared" si="1"/>
        <v>March</v>
      </c>
      <c r="J125" t="s">
        <v>10</v>
      </c>
    </row>
    <row r="126" spans="1:10" hidden="1" x14ac:dyDescent="0.35">
      <c r="A126" t="s">
        <v>868</v>
      </c>
      <c r="B126" t="s">
        <v>9</v>
      </c>
      <c r="C126">
        <v>0.29699999999999999</v>
      </c>
      <c r="D126">
        <v>20</v>
      </c>
      <c r="E126" t="s">
        <v>866</v>
      </c>
      <c r="F126">
        <v>48.185194000000003</v>
      </c>
      <c r="G126">
        <v>17.083141999999999</v>
      </c>
      <c r="H126" s="1">
        <v>45355</v>
      </c>
      <c r="I126" s="1" t="str">
        <f t="shared" si="1"/>
        <v>March</v>
      </c>
      <c r="J126" t="s">
        <v>10</v>
      </c>
    </row>
    <row r="127" spans="1:10" x14ac:dyDescent="0.35">
      <c r="A127" t="s">
        <v>867</v>
      </c>
      <c r="B127" t="s">
        <v>6</v>
      </c>
      <c r="C127">
        <v>24</v>
      </c>
      <c r="D127">
        <v>79</v>
      </c>
      <c r="E127" t="s">
        <v>865</v>
      </c>
      <c r="F127">
        <v>48.503042999999998</v>
      </c>
      <c r="G127">
        <v>20.561567</v>
      </c>
      <c r="H127" s="1">
        <v>45356</v>
      </c>
      <c r="I127" s="1" t="str">
        <f t="shared" si="1"/>
        <v>March</v>
      </c>
      <c r="J127" t="s">
        <v>5</v>
      </c>
    </row>
    <row r="128" spans="1:10" hidden="1" x14ac:dyDescent="0.35">
      <c r="A128" t="s">
        <v>868</v>
      </c>
      <c r="B128" t="s">
        <v>4</v>
      </c>
      <c r="C128">
        <v>0.30099999999999999</v>
      </c>
      <c r="D128">
        <v>23</v>
      </c>
      <c r="E128" t="s">
        <v>866</v>
      </c>
      <c r="F128">
        <v>52.240867000000001</v>
      </c>
      <c r="G128">
        <v>21.054338999999999</v>
      </c>
      <c r="H128" s="1">
        <v>45356</v>
      </c>
      <c r="I128" s="1" t="str">
        <f t="shared" ref="I128:I191" si="2">IF(H128="","",TEXT(H128,"MMMM"))</f>
        <v>March</v>
      </c>
      <c r="J128" t="s">
        <v>5</v>
      </c>
    </row>
    <row r="129" spans="1:10" x14ac:dyDescent="0.35">
      <c r="A129" t="s">
        <v>868</v>
      </c>
      <c r="B129" t="s">
        <v>4</v>
      </c>
      <c r="C129">
        <v>0.34399999999999997</v>
      </c>
      <c r="D129">
        <v>20</v>
      </c>
      <c r="E129" t="s">
        <v>865</v>
      </c>
      <c r="F129">
        <v>52.240521999999999</v>
      </c>
      <c r="G129">
        <v>21.057552000000001</v>
      </c>
      <c r="H129" s="1">
        <v>45356</v>
      </c>
      <c r="I129" s="1" t="str">
        <f t="shared" si="2"/>
        <v>March</v>
      </c>
      <c r="J129" t="s">
        <v>5</v>
      </c>
    </row>
    <row r="130" spans="1:10" x14ac:dyDescent="0.35">
      <c r="A130" t="s">
        <v>868</v>
      </c>
      <c r="B130" t="s">
        <v>6</v>
      </c>
      <c r="C130">
        <v>0.253</v>
      </c>
      <c r="D130">
        <v>19</v>
      </c>
      <c r="E130" t="s">
        <v>865</v>
      </c>
      <c r="F130">
        <v>47.507002</v>
      </c>
      <c r="G130">
        <v>18.950091</v>
      </c>
      <c r="H130" s="1">
        <v>45356</v>
      </c>
      <c r="I130" s="1" t="str">
        <f t="shared" si="2"/>
        <v>March</v>
      </c>
      <c r="J130" t="s">
        <v>5</v>
      </c>
    </row>
    <row r="131" spans="1:10" hidden="1" x14ac:dyDescent="0.35">
      <c r="A131" t="s">
        <v>868</v>
      </c>
      <c r="B131" t="s">
        <v>6</v>
      </c>
      <c r="C131">
        <v>0.29299999999999998</v>
      </c>
      <c r="D131">
        <v>18</v>
      </c>
      <c r="E131" t="s">
        <v>866</v>
      </c>
      <c r="F131">
        <v>47.507556999999998</v>
      </c>
      <c r="G131">
        <v>18.942066000000001</v>
      </c>
      <c r="H131" s="1">
        <v>45356</v>
      </c>
      <c r="I131" s="1" t="str">
        <f t="shared" si="2"/>
        <v>March</v>
      </c>
      <c r="J131" t="s">
        <v>5</v>
      </c>
    </row>
    <row r="132" spans="1:10" x14ac:dyDescent="0.35">
      <c r="B132" t="s">
        <v>12</v>
      </c>
      <c r="C132">
        <v>0.26300000000000001</v>
      </c>
      <c r="D132">
        <v>22</v>
      </c>
      <c r="E132" t="s">
        <v>865</v>
      </c>
      <c r="F132">
        <v>49.89476007476636</v>
      </c>
      <c r="G132">
        <v>11.786535411214958</v>
      </c>
      <c r="H132" s="1">
        <v>45356</v>
      </c>
      <c r="I132" s="1" t="str">
        <f t="shared" si="2"/>
        <v>March</v>
      </c>
      <c r="J132" t="s">
        <v>8</v>
      </c>
    </row>
    <row r="133" spans="1:10" hidden="1" x14ac:dyDescent="0.35">
      <c r="A133" t="s">
        <v>869</v>
      </c>
      <c r="B133" t="s">
        <v>11</v>
      </c>
      <c r="C133">
        <v>0.9</v>
      </c>
      <c r="D133">
        <v>19</v>
      </c>
      <c r="E133" t="s">
        <v>866</v>
      </c>
      <c r="F133">
        <v>50.107284</v>
      </c>
      <c r="G133">
        <v>14.346126999999999</v>
      </c>
      <c r="H133" s="1">
        <v>45356</v>
      </c>
      <c r="I133" s="1" t="str">
        <f t="shared" si="2"/>
        <v>March</v>
      </c>
      <c r="J133" t="s">
        <v>10</v>
      </c>
    </row>
    <row r="134" spans="1:10" hidden="1" x14ac:dyDescent="0.35">
      <c r="A134" t="s">
        <v>867</v>
      </c>
      <c r="B134" t="s">
        <v>9</v>
      </c>
      <c r="C134">
        <v>23</v>
      </c>
      <c r="D134">
        <v>97</v>
      </c>
      <c r="E134" t="s">
        <v>866</v>
      </c>
      <c r="F134">
        <v>48.413226000000002</v>
      </c>
      <c r="G134">
        <v>18.848127999999999</v>
      </c>
      <c r="H134" s="1">
        <v>45356</v>
      </c>
      <c r="I134" s="1" t="str">
        <f t="shared" si="2"/>
        <v>March</v>
      </c>
      <c r="J134" t="s">
        <v>10</v>
      </c>
    </row>
    <row r="135" spans="1:10" x14ac:dyDescent="0.35">
      <c r="A135" t="s">
        <v>868</v>
      </c>
      <c r="B135" t="s">
        <v>9</v>
      </c>
      <c r="C135">
        <v>0.33300000000000002</v>
      </c>
      <c r="D135">
        <v>23</v>
      </c>
      <c r="E135" t="s">
        <v>865</v>
      </c>
      <c r="F135">
        <v>48.409022999999998</v>
      </c>
      <c r="G135">
        <v>18.843990000000002</v>
      </c>
      <c r="H135" s="1">
        <v>45356</v>
      </c>
      <c r="I135" s="1" t="str">
        <f t="shared" si="2"/>
        <v>March</v>
      </c>
      <c r="J135" t="s">
        <v>10</v>
      </c>
    </row>
    <row r="136" spans="1:10" x14ac:dyDescent="0.35">
      <c r="A136" t="s">
        <v>868</v>
      </c>
      <c r="B136" t="s">
        <v>9</v>
      </c>
      <c r="C136">
        <v>0.32</v>
      </c>
      <c r="D136">
        <v>17</v>
      </c>
      <c r="E136" t="s">
        <v>865</v>
      </c>
      <c r="F136">
        <v>48.406733000000003</v>
      </c>
      <c r="G136">
        <v>18.838754000000002</v>
      </c>
      <c r="H136" s="1">
        <v>45356</v>
      </c>
      <c r="I136" s="1" t="str">
        <f t="shared" si="2"/>
        <v>March</v>
      </c>
      <c r="J136" t="s">
        <v>10</v>
      </c>
    </row>
    <row r="137" spans="1:10" hidden="1" x14ac:dyDescent="0.35">
      <c r="A137" t="s">
        <v>868</v>
      </c>
      <c r="B137" t="s">
        <v>9</v>
      </c>
      <c r="C137">
        <v>0.26600000000000001</v>
      </c>
      <c r="D137">
        <v>18</v>
      </c>
      <c r="E137" t="s">
        <v>866</v>
      </c>
      <c r="F137">
        <v>48.404589999999999</v>
      </c>
      <c r="G137">
        <v>18.846848999999999</v>
      </c>
      <c r="H137" s="1">
        <v>45356</v>
      </c>
      <c r="I137" s="1" t="str">
        <f t="shared" si="2"/>
        <v>March</v>
      </c>
      <c r="J137" t="s">
        <v>10</v>
      </c>
    </row>
    <row r="138" spans="1:10" x14ac:dyDescent="0.35">
      <c r="A138" t="s">
        <v>868</v>
      </c>
      <c r="B138" t="s">
        <v>9</v>
      </c>
      <c r="C138">
        <v>0.30599999999999999</v>
      </c>
      <c r="D138">
        <v>22</v>
      </c>
      <c r="E138" t="s">
        <v>865</v>
      </c>
      <c r="F138">
        <v>48.408318000000001</v>
      </c>
      <c r="G138">
        <v>18.844383000000001</v>
      </c>
      <c r="H138" s="1">
        <v>45356</v>
      </c>
      <c r="I138" s="1" t="str">
        <f t="shared" si="2"/>
        <v>March</v>
      </c>
      <c r="J138" t="s">
        <v>10</v>
      </c>
    </row>
    <row r="139" spans="1:10" x14ac:dyDescent="0.35">
      <c r="A139" t="s">
        <v>868</v>
      </c>
      <c r="B139" t="s">
        <v>9</v>
      </c>
      <c r="C139">
        <v>0.311</v>
      </c>
      <c r="D139">
        <v>22</v>
      </c>
      <c r="E139" t="s">
        <v>865</v>
      </c>
      <c r="F139">
        <v>48.412458000000001</v>
      </c>
      <c r="G139">
        <v>18.832425000000001</v>
      </c>
      <c r="H139" s="1">
        <v>45356</v>
      </c>
      <c r="I139" s="1" t="str">
        <f t="shared" si="2"/>
        <v>March</v>
      </c>
      <c r="J139" t="s">
        <v>10</v>
      </c>
    </row>
    <row r="140" spans="1:10" hidden="1" x14ac:dyDescent="0.35">
      <c r="A140" t="s">
        <v>868</v>
      </c>
      <c r="B140" t="s">
        <v>9</v>
      </c>
      <c r="C140">
        <v>0.29099999999999998</v>
      </c>
      <c r="D140">
        <v>22</v>
      </c>
      <c r="E140" t="s">
        <v>866</v>
      </c>
      <c r="F140">
        <v>48.406551</v>
      </c>
      <c r="G140">
        <v>18.837136999999998</v>
      </c>
      <c r="H140" s="1">
        <v>45356</v>
      </c>
      <c r="I140" s="1" t="str">
        <f t="shared" si="2"/>
        <v>March</v>
      </c>
      <c r="J140" t="s">
        <v>10</v>
      </c>
    </row>
    <row r="141" spans="1:10" x14ac:dyDescent="0.35">
      <c r="A141" t="s">
        <v>868</v>
      </c>
      <c r="B141" t="s">
        <v>9</v>
      </c>
      <c r="C141">
        <v>0.25900000000000001</v>
      </c>
      <c r="D141">
        <v>19</v>
      </c>
      <c r="E141" t="s">
        <v>865</v>
      </c>
      <c r="F141">
        <v>48.405515999999999</v>
      </c>
      <c r="G141">
        <v>18.850994</v>
      </c>
      <c r="H141" s="1">
        <v>45356</v>
      </c>
      <c r="I141" s="1" t="str">
        <f t="shared" si="2"/>
        <v>March</v>
      </c>
      <c r="J141" t="s">
        <v>10</v>
      </c>
    </row>
    <row r="142" spans="1:10" hidden="1" x14ac:dyDescent="0.35">
      <c r="A142" t="s">
        <v>864</v>
      </c>
      <c r="B142" t="s">
        <v>4</v>
      </c>
      <c r="C142">
        <v>454</v>
      </c>
      <c r="D142">
        <v>225</v>
      </c>
      <c r="E142" t="s">
        <v>866</v>
      </c>
      <c r="F142">
        <v>52.834423000000001</v>
      </c>
      <c r="G142">
        <v>23.827103000000001</v>
      </c>
      <c r="H142" s="1">
        <v>45357</v>
      </c>
      <c r="I142" s="1" t="str">
        <f t="shared" si="2"/>
        <v>March</v>
      </c>
      <c r="J142" t="s">
        <v>5</v>
      </c>
    </row>
    <row r="143" spans="1:10" hidden="1" x14ac:dyDescent="0.35">
      <c r="A143" t="s">
        <v>869</v>
      </c>
      <c r="B143" t="s">
        <v>4</v>
      </c>
      <c r="C143">
        <v>1.1000000000000001</v>
      </c>
      <c r="D143">
        <v>22</v>
      </c>
      <c r="E143" t="s">
        <v>866</v>
      </c>
      <c r="F143">
        <v>52.214520999999998</v>
      </c>
      <c r="G143">
        <v>21.031889</v>
      </c>
      <c r="H143" s="1">
        <v>45357</v>
      </c>
      <c r="I143" s="1" t="str">
        <f t="shared" si="2"/>
        <v>March</v>
      </c>
      <c r="J143" t="s">
        <v>5</v>
      </c>
    </row>
    <row r="144" spans="1:10" x14ac:dyDescent="0.35">
      <c r="A144" t="s">
        <v>869</v>
      </c>
      <c r="B144" t="s">
        <v>4</v>
      </c>
      <c r="C144">
        <v>0.9</v>
      </c>
      <c r="D144">
        <v>21</v>
      </c>
      <c r="E144" t="s">
        <v>865</v>
      </c>
      <c r="F144">
        <v>52.214934</v>
      </c>
      <c r="G144">
        <v>21.032105999999999</v>
      </c>
      <c r="H144" s="1">
        <v>45357</v>
      </c>
      <c r="I144" s="1" t="str">
        <f t="shared" si="2"/>
        <v>March</v>
      </c>
      <c r="J144" t="s">
        <v>5</v>
      </c>
    </row>
    <row r="145" spans="1:10" hidden="1" x14ac:dyDescent="0.35">
      <c r="A145" t="s">
        <v>867</v>
      </c>
      <c r="B145" t="s">
        <v>6</v>
      </c>
      <c r="C145">
        <v>18</v>
      </c>
      <c r="D145">
        <v>81</v>
      </c>
      <c r="E145" t="s">
        <v>866</v>
      </c>
      <c r="F145">
        <v>48.511532000000003</v>
      </c>
      <c r="G145">
        <v>20.539111999999999</v>
      </c>
      <c r="H145" s="1">
        <v>45357</v>
      </c>
      <c r="I145" s="1" t="str">
        <f t="shared" si="2"/>
        <v>March</v>
      </c>
      <c r="J145" t="s">
        <v>5</v>
      </c>
    </row>
    <row r="146" spans="1:10" x14ac:dyDescent="0.35">
      <c r="A146" t="s">
        <v>868</v>
      </c>
      <c r="B146" t="s">
        <v>4</v>
      </c>
      <c r="C146">
        <v>0.34300000000000003</v>
      </c>
      <c r="D146">
        <v>23</v>
      </c>
      <c r="E146" t="s">
        <v>865</v>
      </c>
      <c r="F146">
        <v>52.241638000000002</v>
      </c>
      <c r="G146">
        <v>21.057328999999999</v>
      </c>
      <c r="H146" s="1">
        <v>45357</v>
      </c>
      <c r="I146" s="1" t="str">
        <f t="shared" si="2"/>
        <v>March</v>
      </c>
      <c r="J146" t="s">
        <v>5</v>
      </c>
    </row>
    <row r="147" spans="1:10" hidden="1" x14ac:dyDescent="0.35">
      <c r="A147" t="s">
        <v>868</v>
      </c>
      <c r="B147" t="s">
        <v>4</v>
      </c>
      <c r="C147">
        <v>0.27400000000000002</v>
      </c>
      <c r="D147">
        <v>22</v>
      </c>
      <c r="E147" t="s">
        <v>866</v>
      </c>
      <c r="F147">
        <v>52.241235000000003</v>
      </c>
      <c r="G147">
        <v>21.057355999999999</v>
      </c>
      <c r="H147" s="1">
        <v>45357</v>
      </c>
      <c r="I147" s="1" t="str">
        <f t="shared" si="2"/>
        <v>March</v>
      </c>
      <c r="J147" t="s">
        <v>5</v>
      </c>
    </row>
    <row r="148" spans="1:10" hidden="1" x14ac:dyDescent="0.35">
      <c r="A148" t="s">
        <v>869</v>
      </c>
      <c r="B148" t="s">
        <v>11</v>
      </c>
      <c r="C148">
        <v>0.6</v>
      </c>
      <c r="D148">
        <v>17</v>
      </c>
      <c r="E148" t="s">
        <v>866</v>
      </c>
      <c r="F148">
        <v>50.106941999999997</v>
      </c>
      <c r="G148">
        <v>14.348502</v>
      </c>
      <c r="H148" s="1">
        <v>45357</v>
      </c>
      <c r="I148" s="1" t="str">
        <f t="shared" si="2"/>
        <v>March</v>
      </c>
      <c r="J148" t="s">
        <v>10</v>
      </c>
    </row>
    <row r="149" spans="1:10" hidden="1" x14ac:dyDescent="0.35">
      <c r="A149" t="s">
        <v>869</v>
      </c>
      <c r="B149" t="s">
        <v>11</v>
      </c>
      <c r="C149">
        <v>0.4</v>
      </c>
      <c r="D149">
        <v>12</v>
      </c>
      <c r="E149" t="s">
        <v>866</v>
      </c>
      <c r="F149">
        <v>50.107222999999998</v>
      </c>
      <c r="G149">
        <v>14.34732</v>
      </c>
      <c r="H149" s="1">
        <v>45357</v>
      </c>
      <c r="I149" s="1" t="str">
        <f t="shared" si="2"/>
        <v>March</v>
      </c>
      <c r="J149" t="s">
        <v>10</v>
      </c>
    </row>
    <row r="150" spans="1:10" x14ac:dyDescent="0.35">
      <c r="A150" t="s">
        <v>869</v>
      </c>
      <c r="B150" t="s">
        <v>11</v>
      </c>
      <c r="C150">
        <v>1.1000000000000001</v>
      </c>
      <c r="D150">
        <v>26</v>
      </c>
      <c r="E150" t="s">
        <v>865</v>
      </c>
      <c r="F150">
        <v>50.106378999999997</v>
      </c>
      <c r="G150">
        <v>14.347645</v>
      </c>
      <c r="H150" s="1">
        <v>45357</v>
      </c>
      <c r="I150" s="1" t="str">
        <f t="shared" si="2"/>
        <v>March</v>
      </c>
      <c r="J150" t="s">
        <v>10</v>
      </c>
    </row>
    <row r="151" spans="1:10" x14ac:dyDescent="0.35">
      <c r="A151" t="s">
        <v>869</v>
      </c>
      <c r="B151" t="s">
        <v>11</v>
      </c>
      <c r="C151">
        <v>0.8</v>
      </c>
      <c r="D151">
        <v>22</v>
      </c>
      <c r="E151" t="s">
        <v>865</v>
      </c>
      <c r="F151">
        <v>50.106579000000004</v>
      </c>
      <c r="G151">
        <v>14.346283</v>
      </c>
      <c r="H151" s="1">
        <v>45357</v>
      </c>
      <c r="I151" s="1" t="str">
        <f t="shared" si="2"/>
        <v>March</v>
      </c>
      <c r="J151" t="s">
        <v>10</v>
      </c>
    </row>
    <row r="152" spans="1:10" x14ac:dyDescent="0.35">
      <c r="A152" t="s">
        <v>868</v>
      </c>
      <c r="B152" t="s">
        <v>9</v>
      </c>
      <c r="C152">
        <v>0.33400000000000002</v>
      </c>
      <c r="D152">
        <v>21</v>
      </c>
      <c r="E152" t="s">
        <v>865</v>
      </c>
      <c r="F152">
        <v>48.188008000000004</v>
      </c>
      <c r="G152">
        <v>17.085311999999998</v>
      </c>
      <c r="H152" s="1">
        <v>45357</v>
      </c>
      <c r="I152" s="1" t="str">
        <f t="shared" si="2"/>
        <v>March</v>
      </c>
      <c r="J152" t="s">
        <v>10</v>
      </c>
    </row>
    <row r="153" spans="1:10" hidden="1" x14ac:dyDescent="0.35">
      <c r="A153" t="s">
        <v>868</v>
      </c>
      <c r="B153" t="s">
        <v>9</v>
      </c>
      <c r="C153">
        <v>0.307</v>
      </c>
      <c r="D153">
        <v>23</v>
      </c>
      <c r="E153" t="s">
        <v>866</v>
      </c>
      <c r="F153">
        <v>48.185298000000003</v>
      </c>
      <c r="G153">
        <v>17.084071999999999</v>
      </c>
      <c r="H153" s="1">
        <v>45357</v>
      </c>
      <c r="I153" s="1" t="str">
        <f t="shared" si="2"/>
        <v>March</v>
      </c>
      <c r="J153" t="s">
        <v>10</v>
      </c>
    </row>
    <row r="154" spans="1:10" x14ac:dyDescent="0.35">
      <c r="A154" t="s">
        <v>864</v>
      </c>
      <c r="B154" t="s">
        <v>4</v>
      </c>
      <c r="C154">
        <v>862</v>
      </c>
      <c r="D154">
        <v>312</v>
      </c>
      <c r="E154" t="s">
        <v>865</v>
      </c>
      <c r="F154">
        <v>52.831879000000001</v>
      </c>
      <c r="G154">
        <v>23.826297</v>
      </c>
      <c r="H154" s="1">
        <v>45358</v>
      </c>
      <c r="I154" s="1" t="str">
        <f t="shared" si="2"/>
        <v>March</v>
      </c>
      <c r="J154" t="s">
        <v>5</v>
      </c>
    </row>
    <row r="155" spans="1:10" hidden="1" x14ac:dyDescent="0.35">
      <c r="A155" t="s">
        <v>869</v>
      </c>
      <c r="B155" t="s">
        <v>6</v>
      </c>
      <c r="C155">
        <v>1</v>
      </c>
      <c r="D155">
        <v>22</v>
      </c>
      <c r="E155" t="s">
        <v>866</v>
      </c>
      <c r="F155">
        <v>48.506205999999999</v>
      </c>
      <c r="G155">
        <v>20.565308000000002</v>
      </c>
      <c r="H155" s="1">
        <v>45358</v>
      </c>
      <c r="I155" s="1" t="str">
        <f t="shared" si="2"/>
        <v>March</v>
      </c>
      <c r="J155" t="s">
        <v>5</v>
      </c>
    </row>
    <row r="156" spans="1:10" x14ac:dyDescent="0.35">
      <c r="A156" t="s">
        <v>869</v>
      </c>
      <c r="B156" t="s">
        <v>6</v>
      </c>
      <c r="C156">
        <v>0.5</v>
      </c>
      <c r="D156">
        <v>16</v>
      </c>
      <c r="E156" t="s">
        <v>865</v>
      </c>
      <c r="F156">
        <v>48.505090000000003</v>
      </c>
      <c r="G156">
        <v>20.539448</v>
      </c>
      <c r="H156" s="1">
        <v>45358</v>
      </c>
      <c r="I156" s="1" t="str">
        <f t="shared" si="2"/>
        <v>March</v>
      </c>
      <c r="J156" t="s">
        <v>5</v>
      </c>
    </row>
    <row r="157" spans="1:10" hidden="1" x14ac:dyDescent="0.35">
      <c r="A157" t="s">
        <v>869</v>
      </c>
      <c r="B157" t="s">
        <v>6</v>
      </c>
      <c r="C157">
        <v>0.8</v>
      </c>
      <c r="D157">
        <v>23</v>
      </c>
      <c r="E157" t="s">
        <v>866</v>
      </c>
      <c r="F157">
        <v>48.504424999999998</v>
      </c>
      <c r="G157">
        <v>20.548743999999999</v>
      </c>
      <c r="H157" s="1">
        <v>45358</v>
      </c>
      <c r="I157" s="1" t="str">
        <f t="shared" si="2"/>
        <v>March</v>
      </c>
      <c r="J157" t="s">
        <v>5</v>
      </c>
    </row>
    <row r="158" spans="1:10" hidden="1" x14ac:dyDescent="0.35">
      <c r="A158" t="s">
        <v>869</v>
      </c>
      <c r="B158" t="s">
        <v>6</v>
      </c>
      <c r="C158">
        <v>0.7</v>
      </c>
      <c r="D158">
        <v>18</v>
      </c>
      <c r="E158" t="s">
        <v>866</v>
      </c>
      <c r="F158">
        <v>48.505617000000001</v>
      </c>
      <c r="G158">
        <v>20.541053999999999</v>
      </c>
      <c r="H158" s="1">
        <v>45358</v>
      </c>
      <c r="I158" s="1" t="str">
        <f t="shared" si="2"/>
        <v>March</v>
      </c>
      <c r="J158" t="s">
        <v>5</v>
      </c>
    </row>
    <row r="159" spans="1:10" x14ac:dyDescent="0.35">
      <c r="A159" t="s">
        <v>869</v>
      </c>
      <c r="B159" t="s">
        <v>6</v>
      </c>
      <c r="C159">
        <v>1.2</v>
      </c>
      <c r="D159">
        <v>23</v>
      </c>
      <c r="E159" t="s">
        <v>865</v>
      </c>
      <c r="F159">
        <v>48.503253999999998</v>
      </c>
      <c r="G159">
        <v>20.555951</v>
      </c>
      <c r="H159" s="1">
        <v>45358</v>
      </c>
      <c r="I159" s="1" t="str">
        <f t="shared" si="2"/>
        <v>March</v>
      </c>
      <c r="J159" t="s">
        <v>5</v>
      </c>
    </row>
    <row r="160" spans="1:10" x14ac:dyDescent="0.35">
      <c r="A160" t="s">
        <v>869</v>
      </c>
      <c r="B160" t="s">
        <v>6</v>
      </c>
      <c r="C160">
        <v>0.5</v>
      </c>
      <c r="D160">
        <v>15</v>
      </c>
      <c r="E160" t="s">
        <v>865</v>
      </c>
      <c r="F160">
        <v>48.502358999999998</v>
      </c>
      <c r="G160">
        <v>20.563385</v>
      </c>
      <c r="H160" s="1">
        <v>45358</v>
      </c>
      <c r="I160" s="1" t="str">
        <f t="shared" si="2"/>
        <v>March</v>
      </c>
      <c r="J160" t="s">
        <v>5</v>
      </c>
    </row>
    <row r="161" spans="1:10" hidden="1" x14ac:dyDescent="0.35">
      <c r="A161" t="s">
        <v>869</v>
      </c>
      <c r="B161" t="s">
        <v>6</v>
      </c>
      <c r="C161">
        <v>0.6</v>
      </c>
      <c r="D161">
        <v>18</v>
      </c>
      <c r="E161" t="s">
        <v>866</v>
      </c>
      <c r="F161">
        <v>48.511048000000002</v>
      </c>
      <c r="G161">
        <v>20.567208999999998</v>
      </c>
      <c r="H161" s="1">
        <v>45358</v>
      </c>
      <c r="I161" s="1" t="str">
        <f t="shared" si="2"/>
        <v>March</v>
      </c>
      <c r="J161" t="s">
        <v>5</v>
      </c>
    </row>
    <row r="162" spans="1:10" x14ac:dyDescent="0.35">
      <c r="A162" t="s">
        <v>867</v>
      </c>
      <c r="B162" t="s">
        <v>6</v>
      </c>
      <c r="C162">
        <v>29</v>
      </c>
      <c r="D162">
        <v>109</v>
      </c>
      <c r="E162" t="s">
        <v>865</v>
      </c>
      <c r="F162">
        <v>48.501573999999998</v>
      </c>
      <c r="G162">
        <v>20.532454999999999</v>
      </c>
      <c r="H162" s="1">
        <v>45358</v>
      </c>
      <c r="I162" s="1" t="str">
        <f t="shared" si="2"/>
        <v>March</v>
      </c>
      <c r="J162" t="s">
        <v>5</v>
      </c>
    </row>
    <row r="163" spans="1:10" hidden="1" x14ac:dyDescent="0.35">
      <c r="A163" t="s">
        <v>867</v>
      </c>
      <c r="B163" t="s">
        <v>4</v>
      </c>
      <c r="C163">
        <v>26</v>
      </c>
      <c r="D163">
        <v>85</v>
      </c>
      <c r="E163" t="s">
        <v>866</v>
      </c>
      <c r="F163">
        <v>52.808579000000002</v>
      </c>
      <c r="G163">
        <v>23.843768000000001</v>
      </c>
      <c r="H163" s="1">
        <v>45358</v>
      </c>
      <c r="I163" s="1" t="str">
        <f t="shared" si="2"/>
        <v>March</v>
      </c>
      <c r="J163" t="s">
        <v>5</v>
      </c>
    </row>
    <row r="164" spans="1:10" x14ac:dyDescent="0.35">
      <c r="A164" t="s">
        <v>868</v>
      </c>
      <c r="B164" t="s">
        <v>6</v>
      </c>
      <c r="C164">
        <v>0.29599999999999999</v>
      </c>
      <c r="D164">
        <v>19</v>
      </c>
      <c r="E164" t="s">
        <v>865</v>
      </c>
      <c r="F164">
        <v>-2.0235460000000001</v>
      </c>
      <c r="G164">
        <v>34.896734000000002</v>
      </c>
      <c r="H164" s="1">
        <v>45358</v>
      </c>
      <c r="I164" s="1" t="str">
        <f t="shared" si="2"/>
        <v>March</v>
      </c>
      <c r="J164" t="s">
        <v>5</v>
      </c>
    </row>
    <row r="165" spans="1:10" x14ac:dyDescent="0.35">
      <c r="A165" t="s">
        <v>868</v>
      </c>
      <c r="B165" t="s">
        <v>6</v>
      </c>
      <c r="C165">
        <v>0.3</v>
      </c>
      <c r="D165">
        <v>23</v>
      </c>
      <c r="E165" t="s">
        <v>865</v>
      </c>
      <c r="F165">
        <v>48.505406000000001</v>
      </c>
      <c r="G165">
        <v>20.535848000000001</v>
      </c>
      <c r="H165" s="1">
        <v>45358</v>
      </c>
      <c r="I165" s="1" t="str">
        <f t="shared" si="2"/>
        <v>March</v>
      </c>
      <c r="J165" t="s">
        <v>5</v>
      </c>
    </row>
    <row r="166" spans="1:10" hidden="1" x14ac:dyDescent="0.35">
      <c r="A166" t="s">
        <v>868</v>
      </c>
      <c r="B166" t="s">
        <v>6</v>
      </c>
      <c r="C166">
        <v>0.28599999999999998</v>
      </c>
      <c r="D166">
        <v>18</v>
      </c>
      <c r="E166" t="s">
        <v>866</v>
      </c>
      <c r="F166">
        <v>48.503917000000001</v>
      </c>
      <c r="G166">
        <v>20.536503</v>
      </c>
      <c r="H166" s="1">
        <v>45358</v>
      </c>
      <c r="I166" s="1" t="str">
        <f t="shared" si="2"/>
        <v>March</v>
      </c>
      <c r="J166" t="s">
        <v>5</v>
      </c>
    </row>
    <row r="167" spans="1:10" x14ac:dyDescent="0.35">
      <c r="A167" t="s">
        <v>868</v>
      </c>
      <c r="B167" t="s">
        <v>4</v>
      </c>
      <c r="C167">
        <v>0.318</v>
      </c>
      <c r="D167">
        <v>21</v>
      </c>
      <c r="E167" t="s">
        <v>865</v>
      </c>
      <c r="F167">
        <v>52.240616000000003</v>
      </c>
      <c r="G167">
        <v>21.054901999999998</v>
      </c>
      <c r="H167" s="1">
        <v>45358</v>
      </c>
      <c r="I167" s="1" t="str">
        <f t="shared" si="2"/>
        <v>March</v>
      </c>
      <c r="J167" t="s">
        <v>5</v>
      </c>
    </row>
    <row r="168" spans="1:10" x14ac:dyDescent="0.35">
      <c r="A168" t="s">
        <v>864</v>
      </c>
      <c r="B168" t="s">
        <v>11</v>
      </c>
      <c r="C168">
        <v>716</v>
      </c>
      <c r="D168">
        <v>303</v>
      </c>
      <c r="E168" t="s">
        <v>865</v>
      </c>
      <c r="F168">
        <v>50.636161000000001</v>
      </c>
      <c r="G168">
        <v>14.846951000000001</v>
      </c>
      <c r="H168" s="1">
        <v>45358</v>
      </c>
      <c r="I168" s="1" t="str">
        <f t="shared" si="2"/>
        <v>March</v>
      </c>
      <c r="J168" t="s">
        <v>10</v>
      </c>
    </row>
    <row r="169" spans="1:10" hidden="1" x14ac:dyDescent="0.35">
      <c r="A169" t="s">
        <v>864</v>
      </c>
      <c r="B169" t="s">
        <v>11</v>
      </c>
      <c r="C169">
        <v>541</v>
      </c>
      <c r="D169">
        <v>212</v>
      </c>
      <c r="E169" t="s">
        <v>866</v>
      </c>
      <c r="F169">
        <v>50.642592</v>
      </c>
      <c r="G169">
        <v>14.85014</v>
      </c>
      <c r="H169" s="1">
        <v>45358</v>
      </c>
      <c r="I169" s="1" t="str">
        <f t="shared" si="2"/>
        <v>March</v>
      </c>
      <c r="J169" t="s">
        <v>10</v>
      </c>
    </row>
    <row r="170" spans="1:10" hidden="1" x14ac:dyDescent="0.35">
      <c r="A170" t="s">
        <v>864</v>
      </c>
      <c r="B170" t="s">
        <v>11</v>
      </c>
      <c r="C170">
        <v>30</v>
      </c>
      <c r="D170">
        <v>100</v>
      </c>
      <c r="E170" t="s">
        <v>866</v>
      </c>
      <c r="F170">
        <v>50.636423000000001</v>
      </c>
      <c r="G170">
        <v>14.847287</v>
      </c>
      <c r="H170" s="1">
        <v>45358</v>
      </c>
      <c r="I170" s="1" t="str">
        <f t="shared" si="2"/>
        <v>March</v>
      </c>
      <c r="J170" t="s">
        <v>10</v>
      </c>
    </row>
    <row r="171" spans="1:10" hidden="1" x14ac:dyDescent="0.35">
      <c r="A171" t="s">
        <v>869</v>
      </c>
      <c r="B171" t="s">
        <v>11</v>
      </c>
      <c r="C171">
        <v>0.7</v>
      </c>
      <c r="D171">
        <v>20</v>
      </c>
      <c r="E171" t="s">
        <v>866</v>
      </c>
      <c r="F171">
        <v>50.106606999999997</v>
      </c>
      <c r="G171">
        <v>14.347909</v>
      </c>
      <c r="H171" s="1">
        <v>45358</v>
      </c>
      <c r="I171" s="1" t="str">
        <f t="shared" si="2"/>
        <v>March</v>
      </c>
      <c r="J171" t="s">
        <v>10</v>
      </c>
    </row>
    <row r="172" spans="1:10" hidden="1" x14ac:dyDescent="0.35">
      <c r="A172" t="s">
        <v>869</v>
      </c>
      <c r="B172" t="s">
        <v>11</v>
      </c>
      <c r="C172">
        <v>0.7</v>
      </c>
      <c r="D172">
        <v>20</v>
      </c>
      <c r="E172" t="s">
        <v>866</v>
      </c>
      <c r="F172">
        <v>50.106924999999997</v>
      </c>
      <c r="G172">
        <v>14.346629</v>
      </c>
      <c r="H172" s="1">
        <v>45358</v>
      </c>
      <c r="I172" s="1" t="str">
        <f t="shared" si="2"/>
        <v>March</v>
      </c>
      <c r="J172" t="s">
        <v>10</v>
      </c>
    </row>
    <row r="173" spans="1:10" x14ac:dyDescent="0.35">
      <c r="A173" t="s">
        <v>869</v>
      </c>
      <c r="B173" t="s">
        <v>11</v>
      </c>
      <c r="C173">
        <v>1.2</v>
      </c>
      <c r="D173">
        <v>26</v>
      </c>
      <c r="E173" t="s">
        <v>865</v>
      </c>
      <c r="F173">
        <v>50.107284</v>
      </c>
      <c r="G173">
        <v>14.347676</v>
      </c>
      <c r="H173" s="1">
        <v>45358</v>
      </c>
      <c r="I173" s="1" t="str">
        <f t="shared" si="2"/>
        <v>March</v>
      </c>
      <c r="J173" t="s">
        <v>10</v>
      </c>
    </row>
    <row r="174" spans="1:10" hidden="1" x14ac:dyDescent="0.35">
      <c r="A174" t="s">
        <v>868</v>
      </c>
      <c r="B174" t="s">
        <v>11</v>
      </c>
      <c r="C174">
        <v>0.27300000000000002</v>
      </c>
      <c r="D174">
        <v>17</v>
      </c>
      <c r="E174" t="s">
        <v>866</v>
      </c>
      <c r="F174">
        <v>49.938634</v>
      </c>
      <c r="G174">
        <v>14.181813</v>
      </c>
      <c r="H174" s="1">
        <v>45358</v>
      </c>
      <c r="I174" s="1" t="str">
        <f t="shared" si="2"/>
        <v>March</v>
      </c>
      <c r="J174" t="s">
        <v>10</v>
      </c>
    </row>
    <row r="175" spans="1:10" hidden="1" x14ac:dyDescent="0.35">
      <c r="A175" t="s">
        <v>869</v>
      </c>
      <c r="B175" t="s">
        <v>6</v>
      </c>
      <c r="C175">
        <v>1</v>
      </c>
      <c r="D175">
        <v>24</v>
      </c>
      <c r="E175" t="s">
        <v>866</v>
      </c>
      <c r="F175">
        <v>48.506912999999997</v>
      </c>
      <c r="G175">
        <v>20.540427000000001</v>
      </c>
      <c r="H175" s="1">
        <v>45359</v>
      </c>
      <c r="I175" s="1" t="str">
        <f t="shared" si="2"/>
        <v>March</v>
      </c>
      <c r="J175" t="s">
        <v>5</v>
      </c>
    </row>
    <row r="176" spans="1:10" hidden="1" x14ac:dyDescent="0.35">
      <c r="A176" t="s">
        <v>869</v>
      </c>
      <c r="B176" t="s">
        <v>4</v>
      </c>
      <c r="C176">
        <v>0.8</v>
      </c>
      <c r="D176">
        <v>19</v>
      </c>
      <c r="E176" t="s">
        <v>866</v>
      </c>
      <c r="F176">
        <v>52.214365000000001</v>
      </c>
      <c r="G176">
        <v>21.031462000000001</v>
      </c>
      <c r="H176" s="1">
        <v>45359</v>
      </c>
      <c r="I176" s="1" t="str">
        <f t="shared" si="2"/>
        <v>March</v>
      </c>
      <c r="J176" t="s">
        <v>5</v>
      </c>
    </row>
    <row r="177" spans="1:10" hidden="1" x14ac:dyDescent="0.35">
      <c r="A177" t="s">
        <v>868</v>
      </c>
      <c r="B177" t="s">
        <v>6</v>
      </c>
      <c r="C177">
        <v>0.26100000000000001</v>
      </c>
      <c r="D177">
        <v>19</v>
      </c>
      <c r="E177" t="s">
        <v>866</v>
      </c>
      <c r="F177">
        <v>47.507022999999997</v>
      </c>
      <c r="G177">
        <v>18.940532000000001</v>
      </c>
      <c r="H177" s="1">
        <v>45359</v>
      </c>
      <c r="I177" s="1" t="str">
        <f t="shared" si="2"/>
        <v>March</v>
      </c>
      <c r="J177" t="s">
        <v>5</v>
      </c>
    </row>
    <row r="178" spans="1:10" x14ac:dyDescent="0.35">
      <c r="A178" t="s">
        <v>869</v>
      </c>
      <c r="B178" t="s">
        <v>11</v>
      </c>
      <c r="C178">
        <v>0.8</v>
      </c>
      <c r="D178">
        <v>22</v>
      </c>
      <c r="E178" t="s">
        <v>865</v>
      </c>
      <c r="F178">
        <v>50.106811</v>
      </c>
      <c r="G178">
        <v>14.348513000000001</v>
      </c>
      <c r="H178" s="1">
        <v>45359</v>
      </c>
      <c r="I178" s="1" t="str">
        <f t="shared" si="2"/>
        <v>March</v>
      </c>
      <c r="J178" t="s">
        <v>10</v>
      </c>
    </row>
    <row r="179" spans="1:10" x14ac:dyDescent="0.35">
      <c r="A179" t="s">
        <v>869</v>
      </c>
      <c r="B179" t="s">
        <v>11</v>
      </c>
      <c r="C179">
        <v>1.1000000000000001</v>
      </c>
      <c r="D179">
        <v>23</v>
      </c>
      <c r="E179" t="s">
        <v>865</v>
      </c>
      <c r="F179">
        <v>50.107278000000001</v>
      </c>
      <c r="G179">
        <v>14.348461</v>
      </c>
      <c r="H179" s="1">
        <v>45359</v>
      </c>
      <c r="I179" s="1" t="str">
        <f t="shared" si="2"/>
        <v>March</v>
      </c>
      <c r="J179" t="s">
        <v>10</v>
      </c>
    </row>
    <row r="180" spans="1:10" hidden="1" x14ac:dyDescent="0.35">
      <c r="A180" t="s">
        <v>864</v>
      </c>
      <c r="B180" t="s">
        <v>4</v>
      </c>
      <c r="C180">
        <v>621</v>
      </c>
      <c r="D180">
        <v>277</v>
      </c>
      <c r="E180" t="s">
        <v>866</v>
      </c>
      <c r="F180">
        <v>52.828561000000001</v>
      </c>
      <c r="G180">
        <v>23.816860999999999</v>
      </c>
      <c r="H180" s="1">
        <v>45360</v>
      </c>
      <c r="I180" s="1" t="str">
        <f t="shared" si="2"/>
        <v>March</v>
      </c>
      <c r="J180" t="s">
        <v>5</v>
      </c>
    </row>
    <row r="181" spans="1:10" hidden="1" x14ac:dyDescent="0.35">
      <c r="A181" t="s">
        <v>864</v>
      </c>
      <c r="B181" t="s">
        <v>4</v>
      </c>
      <c r="C181">
        <v>385</v>
      </c>
      <c r="D181">
        <v>168</v>
      </c>
      <c r="E181" t="s">
        <v>866</v>
      </c>
      <c r="F181">
        <v>52.833261</v>
      </c>
      <c r="G181">
        <v>23.815203</v>
      </c>
      <c r="H181" s="1">
        <v>45360</v>
      </c>
      <c r="I181" s="1" t="str">
        <f t="shared" si="2"/>
        <v>March</v>
      </c>
      <c r="J181" t="s">
        <v>5</v>
      </c>
    </row>
    <row r="182" spans="1:10" x14ac:dyDescent="0.35">
      <c r="A182" t="s">
        <v>869</v>
      </c>
      <c r="B182" t="s">
        <v>4</v>
      </c>
      <c r="C182">
        <v>0.6</v>
      </c>
      <c r="D182">
        <v>19</v>
      </c>
      <c r="E182" t="s">
        <v>865</v>
      </c>
      <c r="F182">
        <v>52.214410000000001</v>
      </c>
      <c r="G182">
        <v>21.032484</v>
      </c>
      <c r="H182" s="1">
        <v>45360</v>
      </c>
      <c r="I182" s="1" t="str">
        <f t="shared" si="2"/>
        <v>March</v>
      </c>
      <c r="J182" t="s">
        <v>5</v>
      </c>
    </row>
    <row r="183" spans="1:10" hidden="1" x14ac:dyDescent="0.35">
      <c r="A183" t="s">
        <v>869</v>
      </c>
      <c r="B183" t="s">
        <v>4</v>
      </c>
      <c r="C183">
        <v>0.8</v>
      </c>
      <c r="D183">
        <v>22</v>
      </c>
      <c r="E183" t="s">
        <v>866</v>
      </c>
      <c r="F183">
        <v>52.214452000000001</v>
      </c>
      <c r="G183">
        <v>21.034504999999999</v>
      </c>
      <c r="H183" s="1">
        <v>45360</v>
      </c>
      <c r="I183" s="1" t="str">
        <f t="shared" si="2"/>
        <v>March</v>
      </c>
      <c r="J183" t="s">
        <v>5</v>
      </c>
    </row>
    <row r="184" spans="1:10" hidden="1" x14ac:dyDescent="0.35">
      <c r="A184" t="s">
        <v>867</v>
      </c>
      <c r="B184" t="s">
        <v>6</v>
      </c>
      <c r="C184">
        <v>12</v>
      </c>
      <c r="D184">
        <v>61</v>
      </c>
      <c r="E184" t="s">
        <v>866</v>
      </c>
      <c r="F184">
        <v>48.508239000000003</v>
      </c>
      <c r="G184">
        <v>20.567913999999998</v>
      </c>
      <c r="H184" s="1">
        <v>45360</v>
      </c>
      <c r="I184" s="1" t="str">
        <f t="shared" si="2"/>
        <v>March</v>
      </c>
      <c r="J184" t="s">
        <v>5</v>
      </c>
    </row>
    <row r="185" spans="1:10" hidden="1" x14ac:dyDescent="0.35">
      <c r="A185" t="s">
        <v>867</v>
      </c>
      <c r="B185" t="s">
        <v>6</v>
      </c>
      <c r="C185">
        <v>23</v>
      </c>
      <c r="D185">
        <v>73</v>
      </c>
      <c r="E185" t="s">
        <v>866</v>
      </c>
      <c r="F185">
        <v>48.507503</v>
      </c>
      <c r="G185">
        <v>20.551725999999999</v>
      </c>
      <c r="H185" s="1">
        <v>45360</v>
      </c>
      <c r="I185" s="1" t="str">
        <f t="shared" si="2"/>
        <v>March</v>
      </c>
      <c r="J185" t="s">
        <v>5</v>
      </c>
    </row>
    <row r="186" spans="1:10" hidden="1" x14ac:dyDescent="0.35">
      <c r="A186" t="s">
        <v>867</v>
      </c>
      <c r="B186" t="s">
        <v>4</v>
      </c>
      <c r="C186">
        <v>20</v>
      </c>
      <c r="D186">
        <v>95</v>
      </c>
      <c r="E186" t="s">
        <v>866</v>
      </c>
      <c r="F186">
        <v>52.814984000000003</v>
      </c>
      <c r="G186">
        <v>23.840681</v>
      </c>
      <c r="H186" s="1">
        <v>45360</v>
      </c>
      <c r="I186" s="1" t="str">
        <f t="shared" si="2"/>
        <v>March</v>
      </c>
      <c r="J186" t="s">
        <v>5</v>
      </c>
    </row>
    <row r="187" spans="1:10" x14ac:dyDescent="0.35">
      <c r="A187" t="s">
        <v>867</v>
      </c>
      <c r="B187" t="s">
        <v>4</v>
      </c>
      <c r="C187">
        <v>18</v>
      </c>
      <c r="D187">
        <v>63</v>
      </c>
      <c r="E187" t="s">
        <v>865</v>
      </c>
      <c r="F187">
        <v>52.812646999999998</v>
      </c>
      <c r="G187">
        <v>23.863299000000001</v>
      </c>
      <c r="H187" s="1">
        <v>45360</v>
      </c>
      <c r="I187" s="1" t="str">
        <f t="shared" si="2"/>
        <v>March</v>
      </c>
      <c r="J187" t="s">
        <v>5</v>
      </c>
    </row>
    <row r="188" spans="1:10" x14ac:dyDescent="0.35">
      <c r="A188" t="s">
        <v>868</v>
      </c>
      <c r="B188" t="s">
        <v>4</v>
      </c>
      <c r="C188">
        <v>0.30199999999999999</v>
      </c>
      <c r="D188">
        <v>22</v>
      </c>
      <c r="E188" t="s">
        <v>865</v>
      </c>
      <c r="F188">
        <v>52.241374999999998</v>
      </c>
      <c r="G188">
        <v>21.050844999999999</v>
      </c>
      <c r="H188" s="1">
        <v>45360</v>
      </c>
      <c r="I188" s="1" t="str">
        <f t="shared" si="2"/>
        <v>March</v>
      </c>
      <c r="J188" t="s">
        <v>5</v>
      </c>
    </row>
    <row r="189" spans="1:10" hidden="1" x14ac:dyDescent="0.35">
      <c r="A189" t="s">
        <v>868</v>
      </c>
      <c r="B189" t="s">
        <v>6</v>
      </c>
      <c r="C189">
        <v>0.28399999999999997</v>
      </c>
      <c r="D189">
        <v>20</v>
      </c>
      <c r="E189" t="s">
        <v>866</v>
      </c>
      <c r="F189">
        <v>47.50938</v>
      </c>
      <c r="G189">
        <v>18.949607</v>
      </c>
      <c r="H189" s="1">
        <v>45360</v>
      </c>
      <c r="I189" s="1" t="str">
        <f t="shared" si="2"/>
        <v>March</v>
      </c>
      <c r="J189" t="s">
        <v>5</v>
      </c>
    </row>
    <row r="190" spans="1:10" hidden="1" x14ac:dyDescent="0.35">
      <c r="A190" t="s">
        <v>869</v>
      </c>
      <c r="B190" t="s">
        <v>11</v>
      </c>
      <c r="C190">
        <v>0.9</v>
      </c>
      <c r="D190">
        <v>22</v>
      </c>
      <c r="E190" t="s">
        <v>866</v>
      </c>
      <c r="F190">
        <v>50.106583000000001</v>
      </c>
      <c r="G190">
        <v>14.346470999999999</v>
      </c>
      <c r="H190" s="1">
        <v>45360</v>
      </c>
      <c r="I190" s="1" t="str">
        <f t="shared" si="2"/>
        <v>March</v>
      </c>
      <c r="J190" t="s">
        <v>10</v>
      </c>
    </row>
    <row r="191" spans="1:10" x14ac:dyDescent="0.35">
      <c r="A191" t="s">
        <v>869</v>
      </c>
      <c r="B191" t="s">
        <v>11</v>
      </c>
      <c r="C191">
        <v>1.1000000000000001</v>
      </c>
      <c r="D191">
        <v>23</v>
      </c>
      <c r="E191" t="s">
        <v>865</v>
      </c>
      <c r="F191">
        <v>50.106960000000001</v>
      </c>
      <c r="G191">
        <v>14.346126</v>
      </c>
      <c r="H191" s="1">
        <v>45360</v>
      </c>
      <c r="I191" s="1" t="str">
        <f t="shared" si="2"/>
        <v>March</v>
      </c>
      <c r="J191" t="s">
        <v>10</v>
      </c>
    </row>
    <row r="192" spans="1:10" x14ac:dyDescent="0.35">
      <c r="A192" t="s">
        <v>869</v>
      </c>
      <c r="B192" t="s">
        <v>11</v>
      </c>
      <c r="C192">
        <v>0.6</v>
      </c>
      <c r="D192">
        <v>19</v>
      </c>
      <c r="E192" t="s">
        <v>865</v>
      </c>
      <c r="F192">
        <v>50.106310999999998</v>
      </c>
      <c r="G192">
        <v>14.346906000000001</v>
      </c>
      <c r="H192" s="1">
        <v>45360</v>
      </c>
      <c r="I192" s="1" t="str">
        <f t="shared" ref="I192:I255" si="3">IF(H192="","",TEXT(H192,"MMMM"))</f>
        <v>March</v>
      </c>
      <c r="J192" t="s">
        <v>10</v>
      </c>
    </row>
    <row r="193" spans="1:10" x14ac:dyDescent="0.35">
      <c r="A193" t="s">
        <v>868</v>
      </c>
      <c r="B193" t="s">
        <v>11</v>
      </c>
      <c r="C193">
        <v>0.29299999999999998</v>
      </c>
      <c r="D193">
        <v>19</v>
      </c>
      <c r="E193" t="s">
        <v>865</v>
      </c>
      <c r="F193">
        <v>49.937415999999999</v>
      </c>
      <c r="G193">
        <v>14.181449000000001</v>
      </c>
      <c r="H193" s="1">
        <v>45360</v>
      </c>
      <c r="I193" s="1" t="str">
        <f t="shared" si="3"/>
        <v>March</v>
      </c>
      <c r="J193" t="s">
        <v>10</v>
      </c>
    </row>
    <row r="194" spans="1:10" hidden="1" x14ac:dyDescent="0.35">
      <c r="A194" t="s">
        <v>869</v>
      </c>
      <c r="B194" t="s">
        <v>6</v>
      </c>
      <c r="C194">
        <v>0.9</v>
      </c>
      <c r="D194">
        <v>20</v>
      </c>
      <c r="E194" t="s">
        <v>866</v>
      </c>
      <c r="F194">
        <v>48.51108</v>
      </c>
      <c r="G194">
        <v>20.567191999999999</v>
      </c>
      <c r="H194" s="1">
        <v>45361</v>
      </c>
      <c r="I194" s="1" t="str">
        <f t="shared" si="3"/>
        <v>March</v>
      </c>
      <c r="J194" t="s">
        <v>5</v>
      </c>
    </row>
    <row r="195" spans="1:10" x14ac:dyDescent="0.35">
      <c r="A195" t="s">
        <v>869</v>
      </c>
      <c r="B195" t="s">
        <v>6</v>
      </c>
      <c r="C195">
        <v>0.9</v>
      </c>
      <c r="D195">
        <v>21</v>
      </c>
      <c r="E195" t="s">
        <v>865</v>
      </c>
      <c r="F195">
        <v>48.505290000000002</v>
      </c>
      <c r="G195">
        <v>20.566168999999999</v>
      </c>
      <c r="H195" s="1">
        <v>45361</v>
      </c>
      <c r="I195" s="1" t="str">
        <f t="shared" si="3"/>
        <v>March</v>
      </c>
      <c r="J195" t="s">
        <v>5</v>
      </c>
    </row>
    <row r="196" spans="1:10" x14ac:dyDescent="0.35">
      <c r="A196" t="s">
        <v>869</v>
      </c>
      <c r="B196" t="s">
        <v>6</v>
      </c>
      <c r="C196">
        <v>1.1000000000000001</v>
      </c>
      <c r="D196">
        <v>26</v>
      </c>
      <c r="E196" t="s">
        <v>865</v>
      </c>
      <c r="F196">
        <v>48.502485999999998</v>
      </c>
      <c r="G196">
        <v>20.562564999999999</v>
      </c>
      <c r="H196" s="1">
        <v>45361</v>
      </c>
      <c r="I196" s="1" t="str">
        <f t="shared" si="3"/>
        <v>March</v>
      </c>
      <c r="J196" t="s">
        <v>5</v>
      </c>
    </row>
    <row r="197" spans="1:10" hidden="1" x14ac:dyDescent="0.35">
      <c r="A197" t="s">
        <v>867</v>
      </c>
      <c r="B197" t="s">
        <v>6</v>
      </c>
      <c r="C197">
        <v>23</v>
      </c>
      <c r="D197">
        <v>77</v>
      </c>
      <c r="E197" t="s">
        <v>866</v>
      </c>
      <c r="F197">
        <v>48.509272000000003</v>
      </c>
      <c r="G197">
        <v>20.551952</v>
      </c>
      <c r="H197" s="1">
        <v>45361</v>
      </c>
      <c r="I197" s="1" t="str">
        <f t="shared" si="3"/>
        <v>March</v>
      </c>
      <c r="J197" t="s">
        <v>5</v>
      </c>
    </row>
    <row r="198" spans="1:10" x14ac:dyDescent="0.35">
      <c r="A198" t="s">
        <v>867</v>
      </c>
      <c r="B198" t="s">
        <v>6</v>
      </c>
      <c r="C198">
        <v>15</v>
      </c>
      <c r="D198">
        <v>71</v>
      </c>
      <c r="E198" t="s">
        <v>865</v>
      </c>
      <c r="F198">
        <v>48.501179999999998</v>
      </c>
      <c r="G198">
        <v>20.557431999999999</v>
      </c>
      <c r="H198" s="1">
        <v>45361</v>
      </c>
      <c r="I198" s="1" t="str">
        <f t="shared" si="3"/>
        <v>March</v>
      </c>
      <c r="J198" t="s">
        <v>5</v>
      </c>
    </row>
    <row r="199" spans="1:10" x14ac:dyDescent="0.35">
      <c r="A199" t="s">
        <v>869</v>
      </c>
      <c r="B199" t="s">
        <v>11</v>
      </c>
      <c r="C199">
        <v>0.8</v>
      </c>
      <c r="D199">
        <v>17</v>
      </c>
      <c r="E199" t="s">
        <v>865</v>
      </c>
      <c r="F199">
        <v>49.938707000000001</v>
      </c>
      <c r="G199">
        <v>14.182506999999999</v>
      </c>
      <c r="H199" s="1">
        <v>45361</v>
      </c>
      <c r="I199" s="1" t="str">
        <f t="shared" si="3"/>
        <v>March</v>
      </c>
      <c r="J199" t="s">
        <v>10</v>
      </c>
    </row>
    <row r="200" spans="1:10" hidden="1" x14ac:dyDescent="0.35">
      <c r="A200" t="s">
        <v>869</v>
      </c>
      <c r="B200" t="s">
        <v>11</v>
      </c>
      <c r="C200">
        <v>0.5</v>
      </c>
      <c r="D200">
        <v>18</v>
      </c>
      <c r="E200" t="s">
        <v>866</v>
      </c>
      <c r="F200">
        <v>49.937531</v>
      </c>
      <c r="G200">
        <v>14.180358999999999</v>
      </c>
      <c r="H200" s="1">
        <v>45361</v>
      </c>
      <c r="I200" s="1" t="str">
        <f t="shared" si="3"/>
        <v>March</v>
      </c>
      <c r="J200" t="s">
        <v>10</v>
      </c>
    </row>
    <row r="201" spans="1:10" hidden="1" x14ac:dyDescent="0.35">
      <c r="A201" t="s">
        <v>869</v>
      </c>
      <c r="B201" t="s">
        <v>11</v>
      </c>
      <c r="C201">
        <v>0.7</v>
      </c>
      <c r="D201">
        <v>17</v>
      </c>
      <c r="E201" t="s">
        <v>866</v>
      </c>
      <c r="F201">
        <v>49.937890000000003</v>
      </c>
      <c r="G201">
        <v>14.180882</v>
      </c>
      <c r="H201" s="1">
        <v>45361</v>
      </c>
      <c r="I201" s="1" t="str">
        <f t="shared" si="3"/>
        <v>March</v>
      </c>
      <c r="J201" t="s">
        <v>10</v>
      </c>
    </row>
    <row r="202" spans="1:10" hidden="1" x14ac:dyDescent="0.35">
      <c r="A202" t="s">
        <v>869</v>
      </c>
      <c r="B202" t="s">
        <v>11</v>
      </c>
      <c r="C202">
        <v>0.5</v>
      </c>
      <c r="D202">
        <v>15</v>
      </c>
      <c r="E202" t="s">
        <v>866</v>
      </c>
      <c r="F202">
        <v>49.937339999999999</v>
      </c>
      <c r="G202">
        <v>14.180709999999999</v>
      </c>
      <c r="H202" s="1">
        <v>45361</v>
      </c>
      <c r="I202" s="1" t="str">
        <f t="shared" si="3"/>
        <v>March</v>
      </c>
      <c r="J202" t="s">
        <v>10</v>
      </c>
    </row>
    <row r="203" spans="1:10" hidden="1" x14ac:dyDescent="0.35">
      <c r="A203" t="s">
        <v>864</v>
      </c>
      <c r="B203" t="s">
        <v>4</v>
      </c>
      <c r="C203">
        <v>24</v>
      </c>
      <c r="D203">
        <v>100</v>
      </c>
      <c r="E203" t="s">
        <v>866</v>
      </c>
      <c r="F203">
        <v>52.834111999999998</v>
      </c>
      <c r="G203">
        <v>23.825721999999999</v>
      </c>
      <c r="H203" s="1">
        <v>45362</v>
      </c>
      <c r="I203" s="1" t="str">
        <f t="shared" si="3"/>
        <v>March</v>
      </c>
      <c r="J203" t="s">
        <v>5</v>
      </c>
    </row>
    <row r="204" spans="1:10" hidden="1" x14ac:dyDescent="0.35">
      <c r="A204" t="s">
        <v>869</v>
      </c>
      <c r="B204" t="s">
        <v>6</v>
      </c>
      <c r="C204">
        <v>0.9</v>
      </c>
      <c r="D204">
        <v>19</v>
      </c>
      <c r="E204" t="s">
        <v>866</v>
      </c>
      <c r="F204">
        <v>48.505634000000001</v>
      </c>
      <c r="G204">
        <v>20.543417000000002</v>
      </c>
      <c r="H204" s="1">
        <v>45362</v>
      </c>
      <c r="I204" s="1" t="str">
        <f t="shared" si="3"/>
        <v>March</v>
      </c>
      <c r="J204" t="s">
        <v>5</v>
      </c>
    </row>
    <row r="205" spans="1:10" hidden="1" x14ac:dyDescent="0.35">
      <c r="A205" t="s">
        <v>869</v>
      </c>
      <c r="B205" t="s">
        <v>4</v>
      </c>
      <c r="C205">
        <v>0.8</v>
      </c>
      <c r="D205">
        <v>16</v>
      </c>
      <c r="E205" t="s">
        <v>866</v>
      </c>
      <c r="F205">
        <v>52.214967999999999</v>
      </c>
      <c r="G205">
        <v>21.030987</v>
      </c>
      <c r="H205" s="1">
        <v>45362</v>
      </c>
      <c r="I205" s="1" t="str">
        <f t="shared" si="3"/>
        <v>March</v>
      </c>
      <c r="J205" t="s">
        <v>5</v>
      </c>
    </row>
    <row r="206" spans="1:10" hidden="1" x14ac:dyDescent="0.35">
      <c r="A206" t="s">
        <v>867</v>
      </c>
      <c r="B206" t="s">
        <v>6</v>
      </c>
      <c r="C206">
        <v>20</v>
      </c>
      <c r="D206">
        <v>90</v>
      </c>
      <c r="E206" t="s">
        <v>866</v>
      </c>
      <c r="F206">
        <v>48.501938000000003</v>
      </c>
      <c r="G206">
        <v>20.567813999999998</v>
      </c>
      <c r="H206" s="1">
        <v>45362</v>
      </c>
      <c r="I206" s="1" t="str">
        <f t="shared" si="3"/>
        <v>March</v>
      </c>
      <c r="J206" t="s">
        <v>5</v>
      </c>
    </row>
    <row r="207" spans="1:10" x14ac:dyDescent="0.35">
      <c r="A207" t="s">
        <v>868</v>
      </c>
      <c r="B207" t="s">
        <v>6</v>
      </c>
      <c r="C207">
        <v>0.32200000000000001</v>
      </c>
      <c r="D207">
        <v>21</v>
      </c>
      <c r="E207" t="s">
        <v>865</v>
      </c>
      <c r="F207">
        <v>48.506216999999999</v>
      </c>
      <c r="G207">
        <v>20.545055000000001</v>
      </c>
      <c r="H207" s="1">
        <v>45362</v>
      </c>
      <c r="I207" s="1" t="str">
        <f t="shared" si="3"/>
        <v>March</v>
      </c>
      <c r="J207" t="s">
        <v>5</v>
      </c>
    </row>
    <row r="208" spans="1:10" x14ac:dyDescent="0.35">
      <c r="A208" t="s">
        <v>868</v>
      </c>
      <c r="B208" t="s">
        <v>6</v>
      </c>
      <c r="C208">
        <v>0.28199999999999997</v>
      </c>
      <c r="D208">
        <v>21</v>
      </c>
      <c r="E208" t="s">
        <v>865</v>
      </c>
      <c r="F208">
        <v>-2.0235460000000001</v>
      </c>
      <c r="G208">
        <v>34.896734000000002</v>
      </c>
      <c r="H208" s="1">
        <v>45362</v>
      </c>
      <c r="I208" s="1" t="str">
        <f t="shared" si="3"/>
        <v>March</v>
      </c>
      <c r="J208" t="s">
        <v>5</v>
      </c>
    </row>
    <row r="209" spans="1:10" hidden="1" x14ac:dyDescent="0.35">
      <c r="A209" t="s">
        <v>868</v>
      </c>
      <c r="B209" t="s">
        <v>6</v>
      </c>
      <c r="C209">
        <v>0.311</v>
      </c>
      <c r="D209">
        <v>22</v>
      </c>
      <c r="E209" t="s">
        <v>866</v>
      </c>
      <c r="F209">
        <v>48.505737000000003</v>
      </c>
      <c r="G209">
        <v>20.546731000000001</v>
      </c>
      <c r="H209" s="1">
        <v>45362</v>
      </c>
      <c r="I209" s="1" t="str">
        <f t="shared" si="3"/>
        <v>March</v>
      </c>
      <c r="J209" t="s">
        <v>5</v>
      </c>
    </row>
    <row r="210" spans="1:10" hidden="1" x14ac:dyDescent="0.35">
      <c r="A210" t="s">
        <v>868</v>
      </c>
      <c r="B210" t="s">
        <v>6</v>
      </c>
      <c r="C210">
        <v>0.33600000000000002</v>
      </c>
      <c r="D210">
        <v>22</v>
      </c>
      <c r="E210" t="s">
        <v>866</v>
      </c>
      <c r="F210">
        <v>48.506095000000002</v>
      </c>
      <c r="G210">
        <v>20.543032</v>
      </c>
      <c r="H210" s="1">
        <v>45362</v>
      </c>
      <c r="I210" s="1" t="str">
        <f t="shared" si="3"/>
        <v>March</v>
      </c>
      <c r="J210" t="s">
        <v>5</v>
      </c>
    </row>
    <row r="211" spans="1:10" x14ac:dyDescent="0.35">
      <c r="A211" t="s">
        <v>868</v>
      </c>
      <c r="B211" t="s">
        <v>6</v>
      </c>
      <c r="C211">
        <v>0.28999999999999998</v>
      </c>
      <c r="D211">
        <v>21</v>
      </c>
      <c r="E211" t="s">
        <v>865</v>
      </c>
      <c r="F211">
        <v>48.506428999999997</v>
      </c>
      <c r="G211">
        <v>20.543875</v>
      </c>
      <c r="H211" s="1">
        <v>45362</v>
      </c>
      <c r="I211" s="1" t="str">
        <f t="shared" si="3"/>
        <v>March</v>
      </c>
      <c r="J211" t="s">
        <v>5</v>
      </c>
    </row>
    <row r="212" spans="1:10" x14ac:dyDescent="0.35">
      <c r="A212" t="s">
        <v>868</v>
      </c>
      <c r="B212" t="s">
        <v>6</v>
      </c>
      <c r="C212">
        <v>0.29299999999999998</v>
      </c>
      <c r="D212">
        <v>20</v>
      </c>
      <c r="E212" t="s">
        <v>865</v>
      </c>
      <c r="F212">
        <v>48.505859999999998</v>
      </c>
      <c r="G212">
        <v>20.547649</v>
      </c>
      <c r="H212" s="1">
        <v>45362</v>
      </c>
      <c r="I212" s="1" t="str">
        <f t="shared" si="3"/>
        <v>March</v>
      </c>
      <c r="J212" t="s">
        <v>5</v>
      </c>
    </row>
    <row r="213" spans="1:10" hidden="1" x14ac:dyDescent="0.35">
      <c r="A213" t="s">
        <v>868</v>
      </c>
      <c r="B213" t="s">
        <v>6</v>
      </c>
      <c r="C213">
        <v>0.33500000000000002</v>
      </c>
      <c r="D213">
        <v>19</v>
      </c>
      <c r="E213" t="s">
        <v>866</v>
      </c>
      <c r="F213">
        <v>48.502521000000002</v>
      </c>
      <c r="G213">
        <v>20.558578000000001</v>
      </c>
      <c r="H213" s="1">
        <v>45362</v>
      </c>
      <c r="I213" s="1" t="str">
        <f t="shared" si="3"/>
        <v>March</v>
      </c>
      <c r="J213" t="s">
        <v>5</v>
      </c>
    </row>
    <row r="214" spans="1:10" hidden="1" x14ac:dyDescent="0.35">
      <c r="A214" t="s">
        <v>868</v>
      </c>
      <c r="B214" t="s">
        <v>6</v>
      </c>
      <c r="C214">
        <v>0.33900000000000002</v>
      </c>
      <c r="D214">
        <v>19</v>
      </c>
      <c r="E214" t="s">
        <v>866</v>
      </c>
      <c r="F214">
        <v>48.503751999999999</v>
      </c>
      <c r="G214">
        <v>20.558664</v>
      </c>
      <c r="H214" s="1">
        <v>45362</v>
      </c>
      <c r="I214" s="1" t="str">
        <f t="shared" si="3"/>
        <v>March</v>
      </c>
      <c r="J214" t="s">
        <v>5</v>
      </c>
    </row>
    <row r="215" spans="1:10" x14ac:dyDescent="0.35">
      <c r="A215" t="s">
        <v>868</v>
      </c>
      <c r="B215" t="s">
        <v>4</v>
      </c>
      <c r="C215">
        <v>0.30399999999999999</v>
      </c>
      <c r="D215">
        <v>22</v>
      </c>
      <c r="E215" t="s">
        <v>865</v>
      </c>
      <c r="F215">
        <v>52.241092999999999</v>
      </c>
      <c r="G215">
        <v>21.055413000000001</v>
      </c>
      <c r="H215" s="1">
        <v>45362</v>
      </c>
      <c r="I215" s="1" t="str">
        <f t="shared" si="3"/>
        <v>March</v>
      </c>
      <c r="J215" t="s">
        <v>5</v>
      </c>
    </row>
    <row r="216" spans="1:10" x14ac:dyDescent="0.35">
      <c r="A216" t="s">
        <v>868</v>
      </c>
      <c r="B216" t="s">
        <v>11</v>
      </c>
      <c r="C216">
        <v>0.27100000000000002</v>
      </c>
      <c r="D216">
        <v>18</v>
      </c>
      <c r="E216" t="s">
        <v>865</v>
      </c>
      <c r="F216">
        <v>49.937390999999998</v>
      </c>
      <c r="G216">
        <v>14.179565999999999</v>
      </c>
      <c r="H216" s="1">
        <v>45362</v>
      </c>
      <c r="I216" s="1" t="str">
        <f t="shared" si="3"/>
        <v>March</v>
      </c>
      <c r="J216" t="s">
        <v>10</v>
      </c>
    </row>
    <row r="217" spans="1:10" x14ac:dyDescent="0.35">
      <c r="A217" t="s">
        <v>864</v>
      </c>
      <c r="B217" t="s">
        <v>4</v>
      </c>
      <c r="C217">
        <v>315</v>
      </c>
      <c r="D217">
        <v>175</v>
      </c>
      <c r="E217" t="s">
        <v>865</v>
      </c>
      <c r="F217">
        <v>52.829512000000001</v>
      </c>
      <c r="G217">
        <v>23.811681</v>
      </c>
      <c r="H217" s="1">
        <v>45363</v>
      </c>
      <c r="I217" s="1" t="str">
        <f t="shared" si="3"/>
        <v>March</v>
      </c>
      <c r="J217" t="s">
        <v>5</v>
      </c>
    </row>
    <row r="218" spans="1:10" x14ac:dyDescent="0.35">
      <c r="A218" t="s">
        <v>868</v>
      </c>
      <c r="B218" t="s">
        <v>4</v>
      </c>
      <c r="C218">
        <v>0.316</v>
      </c>
      <c r="D218">
        <v>24</v>
      </c>
      <c r="E218" t="s">
        <v>865</v>
      </c>
      <c r="F218">
        <v>52.240707</v>
      </c>
      <c r="G218">
        <v>21.057051000000001</v>
      </c>
      <c r="H218" s="1">
        <v>45363</v>
      </c>
      <c r="I218" s="1" t="str">
        <f t="shared" si="3"/>
        <v>March</v>
      </c>
      <c r="J218" t="s">
        <v>5</v>
      </c>
    </row>
    <row r="219" spans="1:10" hidden="1" x14ac:dyDescent="0.35">
      <c r="A219" t="s">
        <v>868</v>
      </c>
      <c r="B219" t="s">
        <v>6</v>
      </c>
      <c r="C219">
        <v>0.29499999999999998</v>
      </c>
      <c r="D219">
        <v>19</v>
      </c>
      <c r="E219" t="s">
        <v>866</v>
      </c>
      <c r="F219">
        <v>47.508454</v>
      </c>
      <c r="G219">
        <v>18.949342999999999</v>
      </c>
      <c r="H219" s="1">
        <v>45363</v>
      </c>
      <c r="I219" s="1" t="str">
        <f t="shared" si="3"/>
        <v>March</v>
      </c>
      <c r="J219" t="s">
        <v>5</v>
      </c>
    </row>
    <row r="220" spans="1:10" x14ac:dyDescent="0.35">
      <c r="A220" t="s">
        <v>869</v>
      </c>
      <c r="B220" t="s">
        <v>11</v>
      </c>
      <c r="C220">
        <v>0.6</v>
      </c>
      <c r="D220">
        <v>20</v>
      </c>
      <c r="E220" t="s">
        <v>865</v>
      </c>
      <c r="F220">
        <v>49.938169000000002</v>
      </c>
      <c r="G220">
        <v>14.178703000000001</v>
      </c>
      <c r="H220" s="1">
        <v>45363</v>
      </c>
      <c r="I220" s="1" t="str">
        <f t="shared" si="3"/>
        <v>March</v>
      </c>
      <c r="J220" t="s">
        <v>10</v>
      </c>
    </row>
    <row r="221" spans="1:10" x14ac:dyDescent="0.35">
      <c r="A221" t="s">
        <v>869</v>
      </c>
      <c r="B221" t="s">
        <v>11</v>
      </c>
      <c r="C221">
        <v>0.4</v>
      </c>
      <c r="D221">
        <v>17</v>
      </c>
      <c r="E221" t="s">
        <v>865</v>
      </c>
      <c r="F221">
        <v>49.938527000000001</v>
      </c>
      <c r="G221">
        <v>14.179315000000001</v>
      </c>
      <c r="H221" s="1">
        <v>45363</v>
      </c>
      <c r="I221" s="1" t="str">
        <f t="shared" si="3"/>
        <v>March</v>
      </c>
      <c r="J221" t="s">
        <v>10</v>
      </c>
    </row>
    <row r="222" spans="1:10" hidden="1" x14ac:dyDescent="0.35">
      <c r="A222" t="s">
        <v>868</v>
      </c>
      <c r="B222" t="s">
        <v>11</v>
      </c>
      <c r="C222">
        <v>0.32400000000000001</v>
      </c>
      <c r="D222">
        <v>23</v>
      </c>
      <c r="E222" t="s">
        <v>866</v>
      </c>
      <c r="F222">
        <v>49.937724000000003</v>
      </c>
      <c r="G222">
        <v>14.182072</v>
      </c>
      <c r="H222" s="1">
        <v>45363</v>
      </c>
      <c r="I222" s="1" t="str">
        <f t="shared" si="3"/>
        <v>March</v>
      </c>
      <c r="J222" t="s">
        <v>10</v>
      </c>
    </row>
    <row r="223" spans="1:10" hidden="1" x14ac:dyDescent="0.35">
      <c r="A223" t="s">
        <v>869</v>
      </c>
      <c r="B223" t="s">
        <v>6</v>
      </c>
      <c r="C223">
        <v>0.6</v>
      </c>
      <c r="D223">
        <v>14</v>
      </c>
      <c r="E223" t="s">
        <v>866</v>
      </c>
      <c r="F223">
        <v>48.506262</v>
      </c>
      <c r="G223">
        <v>20.547343000000001</v>
      </c>
      <c r="H223" s="1">
        <v>45364</v>
      </c>
      <c r="I223" s="1" t="str">
        <f t="shared" si="3"/>
        <v>March</v>
      </c>
      <c r="J223" t="s">
        <v>5</v>
      </c>
    </row>
    <row r="224" spans="1:10" x14ac:dyDescent="0.35">
      <c r="A224" t="s">
        <v>869</v>
      </c>
      <c r="B224" t="s">
        <v>4</v>
      </c>
      <c r="C224">
        <v>0.8</v>
      </c>
      <c r="D224">
        <v>24</v>
      </c>
      <c r="E224" t="s">
        <v>865</v>
      </c>
      <c r="F224">
        <v>52.214734</v>
      </c>
      <c r="G224">
        <v>21.031915000000001</v>
      </c>
      <c r="H224" s="1">
        <v>45364</v>
      </c>
      <c r="I224" s="1" t="str">
        <f t="shared" si="3"/>
        <v>March</v>
      </c>
      <c r="J224" t="s">
        <v>5</v>
      </c>
    </row>
    <row r="225" spans="1:10" x14ac:dyDescent="0.35">
      <c r="A225" t="s">
        <v>867</v>
      </c>
      <c r="B225" t="s">
        <v>6</v>
      </c>
      <c r="C225">
        <v>20</v>
      </c>
      <c r="D225">
        <v>86</v>
      </c>
      <c r="E225" t="s">
        <v>865</v>
      </c>
      <c r="F225">
        <v>48.504716999999999</v>
      </c>
      <c r="G225">
        <v>20.558726</v>
      </c>
      <c r="H225" s="1">
        <v>45364</v>
      </c>
      <c r="I225" s="1" t="str">
        <f t="shared" si="3"/>
        <v>March</v>
      </c>
      <c r="J225" t="s">
        <v>5</v>
      </c>
    </row>
    <row r="226" spans="1:10" hidden="1" x14ac:dyDescent="0.35">
      <c r="A226" t="s">
        <v>868</v>
      </c>
      <c r="B226" t="s">
        <v>4</v>
      </c>
      <c r="C226">
        <v>0.36</v>
      </c>
      <c r="D226">
        <v>23</v>
      </c>
      <c r="E226" t="s">
        <v>866</v>
      </c>
      <c r="F226">
        <v>52.241509999999998</v>
      </c>
      <c r="G226">
        <v>21.052575000000001</v>
      </c>
      <c r="H226" s="1">
        <v>45364</v>
      </c>
      <c r="I226" s="1" t="str">
        <f t="shared" si="3"/>
        <v>March</v>
      </c>
      <c r="J226" t="s">
        <v>5</v>
      </c>
    </row>
    <row r="227" spans="1:10" x14ac:dyDescent="0.35">
      <c r="A227" t="s">
        <v>868</v>
      </c>
      <c r="B227" t="s">
        <v>6</v>
      </c>
      <c r="C227">
        <v>0.26</v>
      </c>
      <c r="D227">
        <v>18</v>
      </c>
      <c r="E227" t="s">
        <v>865</v>
      </c>
      <c r="F227">
        <v>47.505768000000003</v>
      </c>
      <c r="G227">
        <v>18.943674000000001</v>
      </c>
      <c r="H227" s="1">
        <v>45364</v>
      </c>
      <c r="I227" s="1" t="str">
        <f t="shared" si="3"/>
        <v>March</v>
      </c>
      <c r="J227" t="s">
        <v>5</v>
      </c>
    </row>
    <row r="228" spans="1:10" x14ac:dyDescent="0.35">
      <c r="A228" t="s">
        <v>868</v>
      </c>
      <c r="B228" t="s">
        <v>7</v>
      </c>
      <c r="C228">
        <v>0.33500000000000002</v>
      </c>
      <c r="D228">
        <v>18</v>
      </c>
      <c r="E228" t="s">
        <v>865</v>
      </c>
      <c r="F228">
        <v>48.161549000000001</v>
      </c>
      <c r="G228">
        <v>11.493041</v>
      </c>
      <c r="H228" s="1">
        <v>45364</v>
      </c>
      <c r="I228" s="1" t="str">
        <f t="shared" si="3"/>
        <v>March</v>
      </c>
      <c r="J228" t="s">
        <v>8</v>
      </c>
    </row>
    <row r="229" spans="1:10" hidden="1" x14ac:dyDescent="0.35">
      <c r="A229" t="s">
        <v>869</v>
      </c>
      <c r="B229" t="s">
        <v>11</v>
      </c>
      <c r="C229">
        <v>0.6</v>
      </c>
      <c r="D229">
        <v>15</v>
      </c>
      <c r="E229" t="s">
        <v>866</v>
      </c>
      <c r="F229">
        <v>49.939297000000003</v>
      </c>
      <c r="G229">
        <v>14.181452999999999</v>
      </c>
      <c r="H229" s="1">
        <v>45364</v>
      </c>
      <c r="I229" s="1" t="str">
        <f t="shared" si="3"/>
        <v>March</v>
      </c>
      <c r="J229" t="s">
        <v>10</v>
      </c>
    </row>
    <row r="230" spans="1:10" hidden="1" x14ac:dyDescent="0.35">
      <c r="A230" t="s">
        <v>868</v>
      </c>
      <c r="B230" t="s">
        <v>9</v>
      </c>
      <c r="C230">
        <v>0.28799999999999998</v>
      </c>
      <c r="D230">
        <v>18</v>
      </c>
      <c r="E230" t="s">
        <v>866</v>
      </c>
      <c r="F230">
        <v>48.185952999999998</v>
      </c>
      <c r="G230">
        <v>17.083929999999999</v>
      </c>
      <c r="H230" s="1">
        <v>45364</v>
      </c>
      <c r="I230" s="1" t="str">
        <f t="shared" si="3"/>
        <v>March</v>
      </c>
      <c r="J230" t="s">
        <v>10</v>
      </c>
    </row>
    <row r="231" spans="1:10" hidden="1" x14ac:dyDescent="0.35">
      <c r="A231" t="s">
        <v>864</v>
      </c>
      <c r="B231" t="s">
        <v>4</v>
      </c>
      <c r="C231">
        <v>610</v>
      </c>
      <c r="D231">
        <v>258</v>
      </c>
      <c r="E231" t="s">
        <v>866</v>
      </c>
      <c r="F231">
        <v>52.821134999999998</v>
      </c>
      <c r="G231">
        <v>23.809947000000001</v>
      </c>
      <c r="H231" s="1">
        <v>45365</v>
      </c>
      <c r="I231" s="1" t="str">
        <f t="shared" si="3"/>
        <v>March</v>
      </c>
      <c r="J231" t="s">
        <v>5</v>
      </c>
    </row>
    <row r="232" spans="1:10" hidden="1" x14ac:dyDescent="0.35">
      <c r="A232" t="s">
        <v>869</v>
      </c>
      <c r="B232" t="s">
        <v>6</v>
      </c>
      <c r="C232">
        <v>0.7</v>
      </c>
      <c r="D232">
        <v>21</v>
      </c>
      <c r="E232" t="s">
        <v>866</v>
      </c>
      <c r="F232">
        <v>48.509199000000002</v>
      </c>
      <c r="G232">
        <v>20.552447000000001</v>
      </c>
      <c r="H232" s="1">
        <v>45365</v>
      </c>
      <c r="I232" s="1" t="str">
        <f t="shared" si="3"/>
        <v>March</v>
      </c>
      <c r="J232" t="s">
        <v>5</v>
      </c>
    </row>
    <row r="233" spans="1:10" hidden="1" x14ac:dyDescent="0.35">
      <c r="A233" t="s">
        <v>869</v>
      </c>
      <c r="B233" t="s">
        <v>4</v>
      </c>
      <c r="C233">
        <v>1</v>
      </c>
      <c r="D233">
        <v>21</v>
      </c>
      <c r="E233" t="s">
        <v>866</v>
      </c>
      <c r="F233">
        <v>52.213985000000001</v>
      </c>
      <c r="G233">
        <v>21.030840999999999</v>
      </c>
      <c r="H233" s="1">
        <v>45365</v>
      </c>
      <c r="I233" s="1" t="str">
        <f t="shared" si="3"/>
        <v>March</v>
      </c>
      <c r="J233" t="s">
        <v>5</v>
      </c>
    </row>
    <row r="234" spans="1:10" hidden="1" x14ac:dyDescent="0.35">
      <c r="A234" t="s">
        <v>869</v>
      </c>
      <c r="B234" t="s">
        <v>4</v>
      </c>
      <c r="C234">
        <v>0.8</v>
      </c>
      <c r="D234">
        <v>15</v>
      </c>
      <c r="E234" t="s">
        <v>866</v>
      </c>
      <c r="F234">
        <v>52.213876999999997</v>
      </c>
      <c r="G234">
        <v>21.030861000000002</v>
      </c>
      <c r="H234" s="1">
        <v>45365</v>
      </c>
      <c r="I234" s="1" t="str">
        <f t="shared" si="3"/>
        <v>March</v>
      </c>
      <c r="J234" t="s">
        <v>5</v>
      </c>
    </row>
    <row r="235" spans="1:10" hidden="1" x14ac:dyDescent="0.35">
      <c r="A235" t="s">
        <v>868</v>
      </c>
      <c r="B235" t="s">
        <v>4</v>
      </c>
      <c r="C235">
        <v>0.32</v>
      </c>
      <c r="D235">
        <v>21</v>
      </c>
      <c r="E235" t="s">
        <v>866</v>
      </c>
      <c r="F235">
        <v>52.241309000000001</v>
      </c>
      <c r="G235">
        <v>21.057247</v>
      </c>
      <c r="H235" s="1">
        <v>45365</v>
      </c>
      <c r="I235" s="1" t="str">
        <f t="shared" si="3"/>
        <v>March</v>
      </c>
      <c r="J235" t="s">
        <v>5</v>
      </c>
    </row>
    <row r="236" spans="1:10" hidden="1" x14ac:dyDescent="0.35">
      <c r="A236" t="s">
        <v>868</v>
      </c>
      <c r="B236" t="s">
        <v>6</v>
      </c>
      <c r="C236">
        <v>0.28699999999999998</v>
      </c>
      <c r="D236">
        <v>23</v>
      </c>
      <c r="E236" t="s">
        <v>866</v>
      </c>
      <c r="F236">
        <v>47.508679000000001</v>
      </c>
      <c r="G236">
        <v>18.946127000000001</v>
      </c>
      <c r="H236" s="1">
        <v>45365</v>
      </c>
      <c r="I236" s="1" t="str">
        <f t="shared" si="3"/>
        <v>March</v>
      </c>
      <c r="J236" t="s">
        <v>5</v>
      </c>
    </row>
    <row r="237" spans="1:10" hidden="1" x14ac:dyDescent="0.35">
      <c r="A237" t="s">
        <v>869</v>
      </c>
      <c r="B237" t="s">
        <v>870</v>
      </c>
      <c r="C237">
        <v>0.8</v>
      </c>
      <c r="D237">
        <v>24</v>
      </c>
      <c r="E237" t="s">
        <v>866</v>
      </c>
      <c r="F237">
        <v>47.781689</v>
      </c>
      <c r="G237">
        <v>14.386777</v>
      </c>
      <c r="H237" s="1">
        <v>45365</v>
      </c>
      <c r="I237" s="1" t="str">
        <f t="shared" si="3"/>
        <v>March</v>
      </c>
      <c r="J237" t="s">
        <v>8</v>
      </c>
    </row>
    <row r="238" spans="1:10" hidden="1" x14ac:dyDescent="0.35">
      <c r="A238" t="s">
        <v>869</v>
      </c>
      <c r="B238" t="s">
        <v>12</v>
      </c>
      <c r="C238">
        <v>0.7</v>
      </c>
      <c r="D238">
        <v>19</v>
      </c>
      <c r="E238" t="s">
        <v>866</v>
      </c>
      <c r="F238">
        <v>47.781139000000003</v>
      </c>
      <c r="G238">
        <v>14.382004</v>
      </c>
      <c r="H238" s="1">
        <v>45365</v>
      </c>
      <c r="I238" s="1" t="str">
        <f t="shared" si="3"/>
        <v>March</v>
      </c>
      <c r="J238" t="s">
        <v>8</v>
      </c>
    </row>
    <row r="239" spans="1:10" x14ac:dyDescent="0.35">
      <c r="A239" t="s">
        <v>869</v>
      </c>
      <c r="B239" t="s">
        <v>12</v>
      </c>
      <c r="C239">
        <v>0.8</v>
      </c>
      <c r="D239">
        <v>20</v>
      </c>
      <c r="E239" t="s">
        <v>865</v>
      </c>
      <c r="F239">
        <v>47.781827999999997</v>
      </c>
      <c r="G239">
        <v>14.385001000000001</v>
      </c>
      <c r="H239" s="1">
        <v>45365</v>
      </c>
      <c r="I239" s="1" t="str">
        <f t="shared" si="3"/>
        <v>March</v>
      </c>
      <c r="J239" t="s">
        <v>8</v>
      </c>
    </row>
    <row r="240" spans="1:10" hidden="1" x14ac:dyDescent="0.35">
      <c r="A240" t="s">
        <v>869</v>
      </c>
      <c r="B240" t="s">
        <v>12</v>
      </c>
      <c r="C240">
        <v>0.6</v>
      </c>
      <c r="D240">
        <v>14</v>
      </c>
      <c r="E240" t="s">
        <v>866</v>
      </c>
      <c r="F240">
        <v>47.781059999999997</v>
      </c>
      <c r="G240">
        <v>14.386806999999999</v>
      </c>
      <c r="H240" s="1">
        <v>45365</v>
      </c>
      <c r="I240" s="1" t="str">
        <f t="shared" si="3"/>
        <v>March</v>
      </c>
      <c r="J240" t="s">
        <v>8</v>
      </c>
    </row>
    <row r="241" spans="1:10" x14ac:dyDescent="0.35">
      <c r="A241" t="s">
        <v>869</v>
      </c>
      <c r="B241" t="s">
        <v>12</v>
      </c>
      <c r="C241">
        <v>0.7</v>
      </c>
      <c r="D241">
        <v>24</v>
      </c>
      <c r="E241" t="s">
        <v>865</v>
      </c>
      <c r="F241">
        <v>47.780872000000002</v>
      </c>
      <c r="G241">
        <v>14.384460000000001</v>
      </c>
      <c r="H241" s="1">
        <v>45365</v>
      </c>
      <c r="I241" s="1" t="str">
        <f t="shared" si="3"/>
        <v>March</v>
      </c>
      <c r="J241" t="s">
        <v>8</v>
      </c>
    </row>
    <row r="242" spans="1:10" hidden="1" x14ac:dyDescent="0.35">
      <c r="A242" t="s">
        <v>869</v>
      </c>
      <c r="B242" t="s">
        <v>12</v>
      </c>
      <c r="C242">
        <v>0.8</v>
      </c>
      <c r="D242">
        <v>21</v>
      </c>
      <c r="E242" t="s">
        <v>866</v>
      </c>
      <c r="F242">
        <v>47.781117000000002</v>
      </c>
      <c r="G242">
        <v>14.38608</v>
      </c>
      <c r="H242" s="1">
        <v>45365</v>
      </c>
      <c r="I242" s="1" t="str">
        <f t="shared" si="3"/>
        <v>March</v>
      </c>
      <c r="J242" t="s">
        <v>8</v>
      </c>
    </row>
    <row r="243" spans="1:10" hidden="1" x14ac:dyDescent="0.35">
      <c r="A243" t="s">
        <v>867</v>
      </c>
      <c r="B243" t="s">
        <v>12</v>
      </c>
      <c r="C243">
        <v>22</v>
      </c>
      <c r="D243">
        <v>80</v>
      </c>
      <c r="E243" t="s">
        <v>866</v>
      </c>
      <c r="F243">
        <v>47.780779000000003</v>
      </c>
      <c r="G243">
        <v>14.384918000000001</v>
      </c>
      <c r="H243" s="1">
        <v>45365</v>
      </c>
      <c r="I243" s="1" t="str">
        <f t="shared" si="3"/>
        <v>March</v>
      </c>
      <c r="J243" t="s">
        <v>8</v>
      </c>
    </row>
    <row r="244" spans="1:10" x14ac:dyDescent="0.35">
      <c r="A244" t="s">
        <v>867</v>
      </c>
      <c r="B244" t="s">
        <v>12</v>
      </c>
      <c r="C244">
        <v>23</v>
      </c>
      <c r="D244">
        <v>86</v>
      </c>
      <c r="E244" t="s">
        <v>865</v>
      </c>
      <c r="F244">
        <v>47.781256999999997</v>
      </c>
      <c r="G244">
        <v>14.383099</v>
      </c>
      <c r="H244" s="1">
        <v>45365</v>
      </c>
      <c r="I244" s="1" t="str">
        <f t="shared" si="3"/>
        <v>March</v>
      </c>
      <c r="J244" t="s">
        <v>8</v>
      </c>
    </row>
    <row r="245" spans="1:10" hidden="1" x14ac:dyDescent="0.35">
      <c r="A245" t="s">
        <v>869</v>
      </c>
      <c r="B245" t="s">
        <v>11</v>
      </c>
      <c r="C245">
        <v>0.9</v>
      </c>
      <c r="D245">
        <v>16</v>
      </c>
      <c r="E245" t="s">
        <v>866</v>
      </c>
      <c r="F245">
        <v>49.938490000000002</v>
      </c>
      <c r="G245">
        <v>14.180199999999999</v>
      </c>
      <c r="H245" s="1">
        <v>45365</v>
      </c>
      <c r="I245" s="1" t="str">
        <f t="shared" si="3"/>
        <v>March</v>
      </c>
      <c r="J245" t="s">
        <v>10</v>
      </c>
    </row>
    <row r="246" spans="1:10" x14ac:dyDescent="0.35">
      <c r="A246" t="s">
        <v>869</v>
      </c>
      <c r="B246" t="s">
        <v>4</v>
      </c>
      <c r="C246">
        <v>0.9</v>
      </c>
      <c r="D246">
        <v>22</v>
      </c>
      <c r="E246" t="s">
        <v>865</v>
      </c>
      <c r="F246">
        <v>52.214497999999999</v>
      </c>
      <c r="G246">
        <v>21.034200999999999</v>
      </c>
      <c r="H246" s="1">
        <v>45366</v>
      </c>
      <c r="I246" s="1" t="str">
        <f t="shared" si="3"/>
        <v>March</v>
      </c>
      <c r="J246" t="s">
        <v>5</v>
      </c>
    </row>
    <row r="247" spans="1:10" x14ac:dyDescent="0.35">
      <c r="A247" t="s">
        <v>867</v>
      </c>
      <c r="B247" t="s">
        <v>4</v>
      </c>
      <c r="C247">
        <v>16</v>
      </c>
      <c r="D247">
        <v>70</v>
      </c>
      <c r="E247" t="s">
        <v>865</v>
      </c>
      <c r="F247">
        <v>52.803128999999998</v>
      </c>
      <c r="G247">
        <v>23.844358</v>
      </c>
      <c r="H247" s="1">
        <v>45366</v>
      </c>
      <c r="I247" s="1" t="str">
        <f t="shared" si="3"/>
        <v>March</v>
      </c>
      <c r="J247" t="s">
        <v>5</v>
      </c>
    </row>
    <row r="248" spans="1:10" hidden="1" x14ac:dyDescent="0.35">
      <c r="A248" t="s">
        <v>869</v>
      </c>
      <c r="B248" t="s">
        <v>11</v>
      </c>
      <c r="C248">
        <v>0.7</v>
      </c>
      <c r="D248">
        <v>21</v>
      </c>
      <c r="E248" t="s">
        <v>866</v>
      </c>
      <c r="F248">
        <v>49.938132000000003</v>
      </c>
      <c r="G248">
        <v>14.181225</v>
      </c>
      <c r="H248" s="1">
        <v>45366</v>
      </c>
      <c r="I248" s="1" t="str">
        <f t="shared" si="3"/>
        <v>March</v>
      </c>
      <c r="J248" t="s">
        <v>10</v>
      </c>
    </row>
    <row r="249" spans="1:10" x14ac:dyDescent="0.35">
      <c r="A249" t="s">
        <v>868</v>
      </c>
      <c r="B249" t="s">
        <v>9</v>
      </c>
      <c r="C249">
        <v>0.29399999999999998</v>
      </c>
      <c r="D249">
        <v>23</v>
      </c>
      <c r="E249" t="s">
        <v>865</v>
      </c>
      <c r="F249">
        <v>48.184373999999998</v>
      </c>
      <c r="G249">
        <v>17.085999999999999</v>
      </c>
      <c r="H249" s="1">
        <v>45366</v>
      </c>
      <c r="I249" s="1" t="str">
        <f t="shared" si="3"/>
        <v>March</v>
      </c>
      <c r="J249" t="s">
        <v>10</v>
      </c>
    </row>
    <row r="250" spans="1:10" hidden="1" x14ac:dyDescent="0.35">
      <c r="A250" t="s">
        <v>868</v>
      </c>
      <c r="B250" t="s">
        <v>11</v>
      </c>
      <c r="C250">
        <v>0.26700000000000002</v>
      </c>
      <c r="D250">
        <v>18</v>
      </c>
      <c r="E250" t="s">
        <v>866</v>
      </c>
      <c r="F250">
        <v>49.938859999999998</v>
      </c>
      <c r="G250">
        <v>14.182738000000001</v>
      </c>
      <c r="H250" s="1">
        <v>45366</v>
      </c>
      <c r="I250" s="1" t="str">
        <f t="shared" si="3"/>
        <v>March</v>
      </c>
      <c r="J250" t="s">
        <v>10</v>
      </c>
    </row>
    <row r="251" spans="1:10" x14ac:dyDescent="0.35">
      <c r="A251" t="s">
        <v>868</v>
      </c>
      <c r="B251" t="s">
        <v>11</v>
      </c>
      <c r="C251">
        <v>0.32800000000000001</v>
      </c>
      <c r="D251">
        <v>19</v>
      </c>
      <c r="E251" t="s">
        <v>865</v>
      </c>
      <c r="F251">
        <v>49.938357000000003</v>
      </c>
      <c r="G251">
        <v>14.177929000000001</v>
      </c>
      <c r="H251" s="1">
        <v>45366</v>
      </c>
      <c r="I251" s="1" t="str">
        <f t="shared" si="3"/>
        <v>March</v>
      </c>
      <c r="J251" t="s">
        <v>10</v>
      </c>
    </row>
    <row r="252" spans="1:10" hidden="1" x14ac:dyDescent="0.35">
      <c r="A252" t="s">
        <v>864</v>
      </c>
      <c r="B252" t="s">
        <v>4</v>
      </c>
      <c r="C252">
        <v>35</v>
      </c>
      <c r="D252">
        <v>125</v>
      </c>
      <c r="E252" t="s">
        <v>866</v>
      </c>
      <c r="F252">
        <v>52.820739000000003</v>
      </c>
      <c r="G252">
        <v>23.815145000000001</v>
      </c>
      <c r="H252" s="1">
        <v>45367</v>
      </c>
      <c r="I252" s="1" t="str">
        <f t="shared" si="3"/>
        <v>March</v>
      </c>
      <c r="J252" t="s">
        <v>5</v>
      </c>
    </row>
    <row r="253" spans="1:10" x14ac:dyDescent="0.35">
      <c r="A253" t="s">
        <v>869</v>
      </c>
      <c r="B253" t="s">
        <v>6</v>
      </c>
      <c r="C253">
        <v>0.6</v>
      </c>
      <c r="D253">
        <v>23</v>
      </c>
      <c r="E253" t="s">
        <v>865</v>
      </c>
      <c r="F253">
        <v>48.501762999999997</v>
      </c>
      <c r="G253">
        <v>20.547975999999998</v>
      </c>
      <c r="H253" s="1">
        <v>45367</v>
      </c>
      <c r="I253" s="1" t="str">
        <f t="shared" si="3"/>
        <v>March</v>
      </c>
      <c r="J253" t="s">
        <v>5</v>
      </c>
    </row>
    <row r="254" spans="1:10" x14ac:dyDescent="0.35">
      <c r="A254" t="s">
        <v>867</v>
      </c>
      <c r="B254" t="s">
        <v>4</v>
      </c>
      <c r="C254">
        <v>16</v>
      </c>
      <c r="D254">
        <v>72</v>
      </c>
      <c r="E254" t="s">
        <v>865</v>
      </c>
      <c r="F254">
        <v>52.814211</v>
      </c>
      <c r="G254">
        <v>23.834358000000002</v>
      </c>
      <c r="H254" s="1">
        <v>45367</v>
      </c>
      <c r="I254" s="1" t="str">
        <f t="shared" si="3"/>
        <v>March</v>
      </c>
      <c r="J254" t="s">
        <v>5</v>
      </c>
    </row>
    <row r="255" spans="1:10" hidden="1" x14ac:dyDescent="0.35">
      <c r="A255" t="s">
        <v>867</v>
      </c>
      <c r="B255" t="s">
        <v>4</v>
      </c>
      <c r="C255">
        <v>18</v>
      </c>
      <c r="D255">
        <v>81</v>
      </c>
      <c r="E255" t="s">
        <v>866</v>
      </c>
      <c r="F255">
        <v>52.802757</v>
      </c>
      <c r="G255">
        <v>23.835198999999999</v>
      </c>
      <c r="H255" s="1">
        <v>45367</v>
      </c>
      <c r="I255" s="1" t="str">
        <f t="shared" si="3"/>
        <v>March</v>
      </c>
      <c r="J255" t="s">
        <v>5</v>
      </c>
    </row>
    <row r="256" spans="1:10" x14ac:dyDescent="0.35">
      <c r="A256" t="s">
        <v>868</v>
      </c>
      <c r="B256" t="s">
        <v>4</v>
      </c>
      <c r="C256">
        <v>0.34599999999999997</v>
      </c>
      <c r="D256">
        <v>19</v>
      </c>
      <c r="E256" t="s">
        <v>865</v>
      </c>
      <c r="F256">
        <v>52.240529000000002</v>
      </c>
      <c r="G256">
        <v>21.053602999999999</v>
      </c>
      <c r="H256" s="1">
        <v>45367</v>
      </c>
      <c r="I256" s="1" t="str">
        <f t="shared" ref="I256:I319" si="4">IF(H256="","",TEXT(H256,"MMMM"))</f>
        <v>March</v>
      </c>
      <c r="J256" t="s">
        <v>5</v>
      </c>
    </row>
    <row r="257" spans="1:10" hidden="1" x14ac:dyDescent="0.35">
      <c r="A257" t="s">
        <v>868</v>
      </c>
      <c r="B257" t="s">
        <v>6</v>
      </c>
      <c r="C257">
        <v>0.27</v>
      </c>
      <c r="D257">
        <v>22</v>
      </c>
      <c r="E257" t="s">
        <v>866</v>
      </c>
      <c r="F257">
        <v>47.509866000000002</v>
      </c>
      <c r="G257">
        <v>18.942537999999999</v>
      </c>
      <c r="H257" s="1">
        <v>45367</v>
      </c>
      <c r="I257" s="1" t="str">
        <f t="shared" si="4"/>
        <v>March</v>
      </c>
      <c r="J257" t="s">
        <v>5</v>
      </c>
    </row>
    <row r="258" spans="1:10" hidden="1" x14ac:dyDescent="0.35">
      <c r="A258" t="s">
        <v>868</v>
      </c>
      <c r="B258" t="s">
        <v>9</v>
      </c>
      <c r="C258">
        <v>0.32600000000000001</v>
      </c>
      <c r="D258">
        <v>19</v>
      </c>
      <c r="E258" t="s">
        <v>866</v>
      </c>
      <c r="F258">
        <v>48.185585000000003</v>
      </c>
      <c r="G258">
        <v>17.091365</v>
      </c>
      <c r="H258" s="1">
        <v>45367</v>
      </c>
      <c r="I258" s="1" t="str">
        <f t="shared" si="4"/>
        <v>March</v>
      </c>
      <c r="J258" t="s">
        <v>10</v>
      </c>
    </row>
    <row r="259" spans="1:10" x14ac:dyDescent="0.35">
      <c r="A259" t="s">
        <v>864</v>
      </c>
      <c r="B259" t="s">
        <v>4</v>
      </c>
      <c r="C259">
        <v>915</v>
      </c>
      <c r="D259">
        <v>304</v>
      </c>
      <c r="E259" t="s">
        <v>865</v>
      </c>
      <c r="F259">
        <v>52.822879999999998</v>
      </c>
      <c r="G259">
        <v>23.810852000000001</v>
      </c>
      <c r="H259" s="1">
        <v>45368</v>
      </c>
      <c r="I259" s="1" t="str">
        <f t="shared" si="4"/>
        <v>March</v>
      </c>
      <c r="J259" t="s">
        <v>5</v>
      </c>
    </row>
    <row r="260" spans="1:10" hidden="1" x14ac:dyDescent="0.35">
      <c r="A260" t="s">
        <v>869</v>
      </c>
      <c r="B260" t="s">
        <v>6</v>
      </c>
      <c r="C260">
        <v>0.7</v>
      </c>
      <c r="D260">
        <v>15</v>
      </c>
      <c r="E260" t="s">
        <v>866</v>
      </c>
      <c r="F260">
        <v>48.504773</v>
      </c>
      <c r="G260">
        <v>20.536543000000002</v>
      </c>
      <c r="H260" s="1">
        <v>45368</v>
      </c>
      <c r="I260" s="1" t="str">
        <f t="shared" si="4"/>
        <v>March</v>
      </c>
      <c r="J260" t="s">
        <v>5</v>
      </c>
    </row>
    <row r="261" spans="1:10" hidden="1" x14ac:dyDescent="0.35">
      <c r="A261" t="s">
        <v>869</v>
      </c>
      <c r="B261" t="s">
        <v>4</v>
      </c>
      <c r="C261">
        <v>0.6</v>
      </c>
      <c r="D261">
        <v>15</v>
      </c>
      <c r="E261" t="s">
        <v>866</v>
      </c>
      <c r="F261">
        <v>52.214745000000001</v>
      </c>
      <c r="G261">
        <v>21.033701000000001</v>
      </c>
      <c r="H261" s="1">
        <v>45368</v>
      </c>
      <c r="I261" s="1" t="str">
        <f t="shared" si="4"/>
        <v>March</v>
      </c>
      <c r="J261" t="s">
        <v>5</v>
      </c>
    </row>
    <row r="262" spans="1:10" hidden="1" x14ac:dyDescent="0.35">
      <c r="A262" t="s">
        <v>868</v>
      </c>
      <c r="B262" t="s">
        <v>6</v>
      </c>
      <c r="C262">
        <v>0.27800000000000002</v>
      </c>
      <c r="D262">
        <v>21</v>
      </c>
      <c r="E262" t="s">
        <v>866</v>
      </c>
      <c r="F262">
        <v>47.510303999999998</v>
      </c>
      <c r="G262">
        <v>18.942924999999999</v>
      </c>
      <c r="H262" s="1">
        <v>45368</v>
      </c>
      <c r="I262" s="1" t="str">
        <f t="shared" si="4"/>
        <v>March</v>
      </c>
      <c r="J262" t="s">
        <v>5</v>
      </c>
    </row>
    <row r="263" spans="1:10" hidden="1" x14ac:dyDescent="0.35">
      <c r="A263" t="s">
        <v>868</v>
      </c>
      <c r="B263" t="s">
        <v>9</v>
      </c>
      <c r="C263">
        <v>0.32200000000000001</v>
      </c>
      <c r="D263">
        <v>23</v>
      </c>
      <c r="E263" t="s">
        <v>866</v>
      </c>
      <c r="F263">
        <v>49.056857000000001</v>
      </c>
      <c r="G263">
        <v>22.416369</v>
      </c>
      <c r="H263" s="1">
        <v>45368</v>
      </c>
      <c r="I263" s="1" t="str">
        <f t="shared" si="4"/>
        <v>March</v>
      </c>
      <c r="J263" t="s">
        <v>10</v>
      </c>
    </row>
    <row r="264" spans="1:10" x14ac:dyDescent="0.35">
      <c r="A264" t="s">
        <v>868</v>
      </c>
      <c r="B264" t="s">
        <v>9</v>
      </c>
      <c r="C264">
        <v>0.30199999999999999</v>
      </c>
      <c r="D264">
        <v>23</v>
      </c>
      <c r="E264" t="s">
        <v>865</v>
      </c>
      <c r="F264">
        <v>48.412370000000003</v>
      </c>
      <c r="G264">
        <v>18.875325</v>
      </c>
      <c r="H264" s="1">
        <v>45368</v>
      </c>
      <c r="I264" s="1" t="str">
        <f t="shared" si="4"/>
        <v>March</v>
      </c>
      <c r="J264" t="s">
        <v>10</v>
      </c>
    </row>
    <row r="265" spans="1:10" hidden="1" x14ac:dyDescent="0.35">
      <c r="A265" t="s">
        <v>868</v>
      </c>
      <c r="B265" t="s">
        <v>9</v>
      </c>
      <c r="C265">
        <v>0.33400000000000002</v>
      </c>
      <c r="D265">
        <v>20</v>
      </c>
      <c r="E265" t="s">
        <v>866</v>
      </c>
      <c r="F265">
        <v>48.406982999999997</v>
      </c>
      <c r="G265">
        <v>18.863197</v>
      </c>
      <c r="H265" s="1">
        <v>45368</v>
      </c>
      <c r="I265" s="1" t="str">
        <f t="shared" si="4"/>
        <v>March</v>
      </c>
      <c r="J265" t="s">
        <v>10</v>
      </c>
    </row>
    <row r="266" spans="1:10" x14ac:dyDescent="0.35">
      <c r="A266" t="s">
        <v>868</v>
      </c>
      <c r="B266" t="s">
        <v>9</v>
      </c>
      <c r="C266">
        <v>0.28000000000000003</v>
      </c>
      <c r="D266">
        <v>19</v>
      </c>
      <c r="E266" t="s">
        <v>865</v>
      </c>
      <c r="F266">
        <v>48.411485999999996</v>
      </c>
      <c r="G266">
        <v>18.867730000000002</v>
      </c>
      <c r="H266" s="1">
        <v>45368</v>
      </c>
      <c r="I266" s="1" t="str">
        <f t="shared" si="4"/>
        <v>March</v>
      </c>
      <c r="J266" t="s">
        <v>10</v>
      </c>
    </row>
    <row r="267" spans="1:10" x14ac:dyDescent="0.35">
      <c r="A267" t="s">
        <v>868</v>
      </c>
      <c r="B267" t="s">
        <v>9</v>
      </c>
      <c r="C267">
        <v>0.28899999999999998</v>
      </c>
      <c r="D267">
        <v>18</v>
      </c>
      <c r="E267" t="s">
        <v>865</v>
      </c>
      <c r="F267">
        <v>48.410536</v>
      </c>
      <c r="G267">
        <v>18.870325000000001</v>
      </c>
      <c r="H267" s="1">
        <v>45368</v>
      </c>
      <c r="I267" s="1" t="str">
        <f t="shared" si="4"/>
        <v>March</v>
      </c>
      <c r="J267" t="s">
        <v>10</v>
      </c>
    </row>
    <row r="268" spans="1:10" hidden="1" x14ac:dyDescent="0.35">
      <c r="A268" t="s">
        <v>864</v>
      </c>
      <c r="B268" t="s">
        <v>4</v>
      </c>
      <c r="C268">
        <v>537</v>
      </c>
      <c r="D268">
        <v>287</v>
      </c>
      <c r="E268" t="s">
        <v>866</v>
      </c>
      <c r="F268">
        <v>52.825499999999998</v>
      </c>
      <c r="G268">
        <v>23.808385999999999</v>
      </c>
      <c r="H268" s="1">
        <v>45369</v>
      </c>
      <c r="I268" s="1" t="str">
        <f t="shared" si="4"/>
        <v>March</v>
      </c>
      <c r="J268" t="s">
        <v>5</v>
      </c>
    </row>
    <row r="269" spans="1:10" x14ac:dyDescent="0.35">
      <c r="A269" t="s">
        <v>868</v>
      </c>
      <c r="B269" t="s">
        <v>4</v>
      </c>
      <c r="C269">
        <v>0.34599999999999997</v>
      </c>
      <c r="D269">
        <v>23</v>
      </c>
      <c r="E269" t="s">
        <v>865</v>
      </c>
      <c r="F269">
        <v>52.240737000000003</v>
      </c>
      <c r="G269">
        <v>21.053063000000002</v>
      </c>
      <c r="H269" s="1">
        <v>45369</v>
      </c>
      <c r="I269" s="1" t="str">
        <f t="shared" si="4"/>
        <v>March</v>
      </c>
      <c r="J269" t="s">
        <v>5</v>
      </c>
    </row>
    <row r="270" spans="1:10" x14ac:dyDescent="0.35">
      <c r="A270" t="s">
        <v>869</v>
      </c>
      <c r="B270" t="s">
        <v>11</v>
      </c>
      <c r="C270">
        <v>1.2</v>
      </c>
      <c r="D270">
        <v>26</v>
      </c>
      <c r="E270" t="s">
        <v>865</v>
      </c>
      <c r="F270">
        <v>49.938547</v>
      </c>
      <c r="G270">
        <v>14.180402000000001</v>
      </c>
      <c r="H270" s="1">
        <v>45369</v>
      </c>
      <c r="I270" s="1" t="str">
        <f t="shared" si="4"/>
        <v>March</v>
      </c>
      <c r="J270" t="s">
        <v>10</v>
      </c>
    </row>
    <row r="271" spans="1:10" x14ac:dyDescent="0.35">
      <c r="A271" t="s">
        <v>869</v>
      </c>
      <c r="B271" t="s">
        <v>11</v>
      </c>
      <c r="C271">
        <v>0.9</v>
      </c>
      <c r="D271">
        <v>17</v>
      </c>
      <c r="E271" t="s">
        <v>865</v>
      </c>
      <c r="F271">
        <v>49.937429000000002</v>
      </c>
      <c r="G271">
        <v>14.182639999999999</v>
      </c>
      <c r="H271" s="1">
        <v>45369</v>
      </c>
      <c r="I271" s="1" t="str">
        <f t="shared" si="4"/>
        <v>March</v>
      </c>
      <c r="J271" t="s">
        <v>10</v>
      </c>
    </row>
    <row r="272" spans="1:10" hidden="1" x14ac:dyDescent="0.35">
      <c r="A272" t="s">
        <v>868</v>
      </c>
      <c r="B272" t="s">
        <v>11</v>
      </c>
      <c r="C272">
        <v>0.32</v>
      </c>
      <c r="D272">
        <v>18</v>
      </c>
      <c r="E272" t="s">
        <v>866</v>
      </c>
      <c r="F272">
        <v>49.938634</v>
      </c>
      <c r="G272">
        <v>14.179739</v>
      </c>
      <c r="H272" s="1">
        <v>45369</v>
      </c>
      <c r="I272" s="1" t="str">
        <f t="shared" si="4"/>
        <v>March</v>
      </c>
      <c r="J272" t="s">
        <v>10</v>
      </c>
    </row>
    <row r="273" spans="1:10" x14ac:dyDescent="0.35">
      <c r="A273" t="s">
        <v>868</v>
      </c>
      <c r="B273" t="s">
        <v>11</v>
      </c>
      <c r="C273">
        <v>0.26600000000000001</v>
      </c>
      <c r="D273">
        <v>17</v>
      </c>
      <c r="E273" t="s">
        <v>865</v>
      </c>
      <c r="F273">
        <v>49.939062</v>
      </c>
      <c r="G273">
        <v>14.177939</v>
      </c>
      <c r="H273" s="1">
        <v>45369</v>
      </c>
      <c r="I273" s="1" t="str">
        <f t="shared" si="4"/>
        <v>March</v>
      </c>
      <c r="J273" t="s">
        <v>10</v>
      </c>
    </row>
    <row r="274" spans="1:10" hidden="1" x14ac:dyDescent="0.35">
      <c r="A274" t="s">
        <v>869</v>
      </c>
      <c r="B274" t="s">
        <v>6</v>
      </c>
      <c r="C274">
        <v>1.1000000000000001</v>
      </c>
      <c r="D274">
        <v>19</v>
      </c>
      <c r="E274" t="s">
        <v>866</v>
      </c>
      <c r="F274">
        <v>48.502512000000003</v>
      </c>
      <c r="G274">
        <v>20.563331000000002</v>
      </c>
      <c r="H274" s="1">
        <v>45370</v>
      </c>
      <c r="I274" s="1" t="str">
        <f t="shared" si="4"/>
        <v>March</v>
      </c>
      <c r="J274" t="s">
        <v>5</v>
      </c>
    </row>
    <row r="275" spans="1:10" x14ac:dyDescent="0.35">
      <c r="A275" t="s">
        <v>869</v>
      </c>
      <c r="B275" t="s">
        <v>4</v>
      </c>
      <c r="C275">
        <v>0.4</v>
      </c>
      <c r="D275">
        <v>16</v>
      </c>
      <c r="E275" t="s">
        <v>865</v>
      </c>
      <c r="F275">
        <v>52.214758000000003</v>
      </c>
      <c r="G275">
        <v>21.030697</v>
      </c>
      <c r="H275" s="1">
        <v>45370</v>
      </c>
      <c r="I275" s="1" t="str">
        <f t="shared" si="4"/>
        <v>March</v>
      </c>
      <c r="J275" t="s">
        <v>5</v>
      </c>
    </row>
    <row r="276" spans="1:10" hidden="1" x14ac:dyDescent="0.35">
      <c r="A276" t="s">
        <v>869</v>
      </c>
      <c r="B276" t="s">
        <v>12</v>
      </c>
      <c r="C276">
        <v>1.1000000000000001</v>
      </c>
      <c r="D276">
        <v>21</v>
      </c>
      <c r="E276" t="s">
        <v>866</v>
      </c>
      <c r="F276">
        <v>47.781211999999996</v>
      </c>
      <c r="G276">
        <v>14.384017</v>
      </c>
      <c r="H276" s="1">
        <v>45370</v>
      </c>
      <c r="I276" s="1" t="str">
        <f t="shared" si="4"/>
        <v>March</v>
      </c>
      <c r="J276" t="s">
        <v>8</v>
      </c>
    </row>
    <row r="277" spans="1:10" x14ac:dyDescent="0.35">
      <c r="A277" t="s">
        <v>869</v>
      </c>
      <c r="B277" t="s">
        <v>12</v>
      </c>
      <c r="C277">
        <v>0.7</v>
      </c>
      <c r="D277">
        <v>25</v>
      </c>
      <c r="E277" t="s">
        <v>865</v>
      </c>
      <c r="F277">
        <v>47.781764000000003</v>
      </c>
      <c r="G277">
        <v>14.383279999999999</v>
      </c>
      <c r="H277" s="1">
        <v>45370</v>
      </c>
      <c r="I277" s="1" t="str">
        <f t="shared" si="4"/>
        <v>March</v>
      </c>
      <c r="J277" t="s">
        <v>8</v>
      </c>
    </row>
    <row r="278" spans="1:10" x14ac:dyDescent="0.35">
      <c r="A278" t="s">
        <v>869</v>
      </c>
      <c r="B278" t="s">
        <v>12</v>
      </c>
      <c r="C278">
        <v>1.1000000000000001</v>
      </c>
      <c r="D278">
        <v>24</v>
      </c>
      <c r="E278" t="s">
        <v>865</v>
      </c>
      <c r="F278">
        <v>47.781883000000001</v>
      </c>
      <c r="G278">
        <v>14.382628</v>
      </c>
      <c r="H278" s="1">
        <v>45370</v>
      </c>
      <c r="I278" s="1" t="str">
        <f t="shared" si="4"/>
        <v>March</v>
      </c>
      <c r="J278" t="s">
        <v>8</v>
      </c>
    </row>
    <row r="279" spans="1:10" hidden="1" x14ac:dyDescent="0.35">
      <c r="A279" t="s">
        <v>869</v>
      </c>
      <c r="B279" t="s">
        <v>12</v>
      </c>
      <c r="C279">
        <v>0.4</v>
      </c>
      <c r="D279">
        <v>21</v>
      </c>
      <c r="E279" t="s">
        <v>866</v>
      </c>
      <c r="F279">
        <v>47.781092999999998</v>
      </c>
      <c r="G279">
        <v>14.38209</v>
      </c>
      <c r="H279" s="1">
        <v>45370</v>
      </c>
      <c r="I279" s="1" t="str">
        <f t="shared" si="4"/>
        <v>March</v>
      </c>
      <c r="J279" t="s">
        <v>8</v>
      </c>
    </row>
    <row r="280" spans="1:10" x14ac:dyDescent="0.35">
      <c r="A280" t="s">
        <v>869</v>
      </c>
      <c r="B280" t="s">
        <v>7</v>
      </c>
      <c r="C280">
        <v>0.8</v>
      </c>
      <c r="D280">
        <v>16</v>
      </c>
      <c r="E280" t="s">
        <v>865</v>
      </c>
      <c r="F280">
        <v>52.585957999999998</v>
      </c>
      <c r="G280">
        <v>13.147098</v>
      </c>
      <c r="H280" s="1">
        <v>45370</v>
      </c>
      <c r="I280" s="1" t="str">
        <f t="shared" si="4"/>
        <v>March</v>
      </c>
      <c r="J280" t="s">
        <v>8</v>
      </c>
    </row>
    <row r="281" spans="1:10" hidden="1" x14ac:dyDescent="0.35">
      <c r="A281" t="s">
        <v>869</v>
      </c>
      <c r="B281" t="s">
        <v>7</v>
      </c>
      <c r="C281">
        <v>0.5</v>
      </c>
      <c r="D281">
        <v>18</v>
      </c>
      <c r="E281" t="s">
        <v>866</v>
      </c>
      <c r="F281">
        <v>52.586199000000001</v>
      </c>
      <c r="G281">
        <v>13.152793000000001</v>
      </c>
      <c r="H281" s="1">
        <v>45370</v>
      </c>
      <c r="I281" s="1" t="str">
        <f t="shared" si="4"/>
        <v>March</v>
      </c>
      <c r="J281" t="s">
        <v>8</v>
      </c>
    </row>
    <row r="282" spans="1:10" x14ac:dyDescent="0.35">
      <c r="A282" t="s">
        <v>869</v>
      </c>
      <c r="B282" t="s">
        <v>7</v>
      </c>
      <c r="C282">
        <v>0.5</v>
      </c>
      <c r="D282">
        <v>18</v>
      </c>
      <c r="E282" t="s">
        <v>865</v>
      </c>
      <c r="F282">
        <v>52.586588999999996</v>
      </c>
      <c r="G282">
        <v>13.146651</v>
      </c>
      <c r="H282" s="1">
        <v>45370</v>
      </c>
      <c r="I282" s="1" t="str">
        <f t="shared" si="4"/>
        <v>March</v>
      </c>
      <c r="J282" t="s">
        <v>8</v>
      </c>
    </row>
    <row r="283" spans="1:10" hidden="1" x14ac:dyDescent="0.35">
      <c r="A283" t="s">
        <v>869</v>
      </c>
      <c r="B283" t="s">
        <v>7</v>
      </c>
      <c r="C283">
        <v>0.4</v>
      </c>
      <c r="D283">
        <v>13</v>
      </c>
      <c r="E283" t="s">
        <v>866</v>
      </c>
      <c r="F283">
        <v>52.587327000000002</v>
      </c>
      <c r="G283">
        <v>13.149206</v>
      </c>
      <c r="H283" s="1">
        <v>45370</v>
      </c>
      <c r="I283" s="1" t="str">
        <f t="shared" si="4"/>
        <v>March</v>
      </c>
      <c r="J283" t="s">
        <v>8</v>
      </c>
    </row>
    <row r="284" spans="1:10" x14ac:dyDescent="0.35">
      <c r="A284" t="s">
        <v>869</v>
      </c>
      <c r="B284" t="s">
        <v>7</v>
      </c>
      <c r="C284">
        <v>1</v>
      </c>
      <c r="D284">
        <v>21</v>
      </c>
      <c r="E284" t="s">
        <v>865</v>
      </c>
      <c r="F284">
        <v>52.585937000000001</v>
      </c>
      <c r="G284">
        <v>13.146151</v>
      </c>
      <c r="H284" s="1">
        <v>45370</v>
      </c>
      <c r="I284" s="1" t="str">
        <f t="shared" si="4"/>
        <v>March</v>
      </c>
      <c r="J284" t="s">
        <v>8</v>
      </c>
    </row>
    <row r="285" spans="1:10" hidden="1" x14ac:dyDescent="0.35">
      <c r="A285" t="s">
        <v>869</v>
      </c>
      <c r="B285" t="s">
        <v>11</v>
      </c>
      <c r="C285">
        <v>1</v>
      </c>
      <c r="D285">
        <v>17</v>
      </c>
      <c r="E285" t="s">
        <v>866</v>
      </c>
      <c r="F285">
        <v>49.937696000000003</v>
      </c>
      <c r="G285">
        <v>14.182707000000001</v>
      </c>
      <c r="H285" s="1">
        <v>45370</v>
      </c>
      <c r="I285" s="1" t="str">
        <f t="shared" si="4"/>
        <v>March</v>
      </c>
      <c r="J285" t="s">
        <v>10</v>
      </c>
    </row>
    <row r="286" spans="1:10" x14ac:dyDescent="0.35">
      <c r="A286" t="s">
        <v>867</v>
      </c>
      <c r="B286" t="s">
        <v>9</v>
      </c>
      <c r="C286">
        <v>16</v>
      </c>
      <c r="D286">
        <v>65</v>
      </c>
      <c r="E286" t="s">
        <v>865</v>
      </c>
      <c r="F286">
        <v>48.405926000000001</v>
      </c>
      <c r="G286">
        <v>18.839219</v>
      </c>
      <c r="H286" s="1">
        <v>45370</v>
      </c>
      <c r="I286" s="1" t="str">
        <f t="shared" si="4"/>
        <v>March</v>
      </c>
      <c r="J286" t="s">
        <v>10</v>
      </c>
    </row>
    <row r="287" spans="1:10" x14ac:dyDescent="0.35">
      <c r="A287" t="s">
        <v>868</v>
      </c>
      <c r="B287" t="s">
        <v>9</v>
      </c>
      <c r="C287">
        <v>0.33</v>
      </c>
      <c r="D287">
        <v>18</v>
      </c>
      <c r="E287" t="s">
        <v>865</v>
      </c>
      <c r="F287">
        <v>48.184756999999998</v>
      </c>
      <c r="G287">
        <v>17.082936</v>
      </c>
      <c r="H287" s="1">
        <v>45370</v>
      </c>
      <c r="I287" s="1" t="str">
        <f t="shared" si="4"/>
        <v>March</v>
      </c>
      <c r="J287" t="s">
        <v>10</v>
      </c>
    </row>
    <row r="288" spans="1:10" hidden="1" x14ac:dyDescent="0.35">
      <c r="A288" t="s">
        <v>868</v>
      </c>
      <c r="B288" t="s">
        <v>9</v>
      </c>
      <c r="C288">
        <v>0.32300000000000001</v>
      </c>
      <c r="D288">
        <v>23</v>
      </c>
      <c r="E288" t="s">
        <v>866</v>
      </c>
      <c r="F288">
        <v>48.186767000000003</v>
      </c>
      <c r="G288">
        <v>17.089935000000001</v>
      </c>
      <c r="H288" s="1">
        <v>45370</v>
      </c>
      <c r="I288" s="1" t="str">
        <f t="shared" si="4"/>
        <v>March</v>
      </c>
      <c r="J288" t="s">
        <v>10</v>
      </c>
    </row>
    <row r="289" spans="1:10" hidden="1" x14ac:dyDescent="0.35">
      <c r="A289" t="s">
        <v>869</v>
      </c>
      <c r="B289" t="s">
        <v>4</v>
      </c>
      <c r="C289">
        <v>0.4</v>
      </c>
      <c r="D289">
        <v>16</v>
      </c>
      <c r="E289" t="s">
        <v>866</v>
      </c>
      <c r="F289">
        <v>52.214753999999999</v>
      </c>
      <c r="G289">
        <v>21.034364</v>
      </c>
      <c r="H289" s="1">
        <v>45371</v>
      </c>
      <c r="I289" s="1" t="str">
        <f t="shared" si="4"/>
        <v>March</v>
      </c>
      <c r="J289" t="s">
        <v>5</v>
      </c>
    </row>
    <row r="290" spans="1:10" x14ac:dyDescent="0.35">
      <c r="A290" t="s">
        <v>869</v>
      </c>
      <c r="B290" t="s">
        <v>4</v>
      </c>
      <c r="C290">
        <v>0.7</v>
      </c>
      <c r="D290">
        <v>26</v>
      </c>
      <c r="E290" t="s">
        <v>865</v>
      </c>
      <c r="F290">
        <v>52.215034000000003</v>
      </c>
      <c r="G290">
        <v>21.03303</v>
      </c>
      <c r="H290" s="1">
        <v>45371</v>
      </c>
      <c r="I290" s="1" t="str">
        <f t="shared" si="4"/>
        <v>March</v>
      </c>
      <c r="J290" t="s">
        <v>5</v>
      </c>
    </row>
    <row r="291" spans="1:10" hidden="1" x14ac:dyDescent="0.35">
      <c r="A291" t="s">
        <v>868</v>
      </c>
      <c r="B291" t="s">
        <v>4</v>
      </c>
      <c r="C291">
        <v>0.35</v>
      </c>
      <c r="D291">
        <v>19</v>
      </c>
      <c r="E291" t="s">
        <v>866</v>
      </c>
      <c r="F291">
        <v>52.241636999999997</v>
      </c>
      <c r="G291">
        <v>21.051539999999999</v>
      </c>
      <c r="H291" s="1">
        <v>45371</v>
      </c>
      <c r="I291" s="1" t="str">
        <f t="shared" si="4"/>
        <v>March</v>
      </c>
      <c r="J291" t="s">
        <v>5</v>
      </c>
    </row>
    <row r="292" spans="1:10" hidden="1" x14ac:dyDescent="0.35">
      <c r="A292" t="s">
        <v>868</v>
      </c>
      <c r="B292" t="s">
        <v>6</v>
      </c>
      <c r="C292">
        <v>0.28399999999999997</v>
      </c>
      <c r="D292">
        <v>18</v>
      </c>
      <c r="E292" t="s">
        <v>866</v>
      </c>
      <c r="F292">
        <v>47.505786000000001</v>
      </c>
      <c r="G292">
        <v>18.943124000000001</v>
      </c>
      <c r="H292" s="1">
        <v>45371</v>
      </c>
      <c r="I292" s="1" t="str">
        <f t="shared" si="4"/>
        <v>March</v>
      </c>
      <c r="J292" t="s">
        <v>5</v>
      </c>
    </row>
    <row r="293" spans="1:10" x14ac:dyDescent="0.35">
      <c r="A293" t="s">
        <v>869</v>
      </c>
      <c r="B293" t="s">
        <v>11</v>
      </c>
      <c r="C293">
        <v>0.5</v>
      </c>
      <c r="D293">
        <v>13</v>
      </c>
      <c r="E293" t="s">
        <v>865</v>
      </c>
      <c r="F293">
        <v>49.937455</v>
      </c>
      <c r="G293">
        <v>14.180775000000001</v>
      </c>
      <c r="H293" s="1">
        <v>45371</v>
      </c>
      <c r="I293" s="1" t="str">
        <f t="shared" si="4"/>
        <v>March</v>
      </c>
      <c r="J293" t="s">
        <v>10</v>
      </c>
    </row>
    <row r="294" spans="1:10" hidden="1" x14ac:dyDescent="0.35">
      <c r="A294" t="s">
        <v>867</v>
      </c>
      <c r="B294" t="s">
        <v>9</v>
      </c>
      <c r="C294">
        <v>17</v>
      </c>
      <c r="D294">
        <v>80</v>
      </c>
      <c r="E294" t="s">
        <v>866</v>
      </c>
      <c r="F294">
        <v>48.407449</v>
      </c>
      <c r="G294">
        <v>18.850762</v>
      </c>
      <c r="H294" s="1">
        <v>45371</v>
      </c>
      <c r="I294" s="1" t="str">
        <f t="shared" si="4"/>
        <v>March</v>
      </c>
      <c r="J294" t="s">
        <v>10</v>
      </c>
    </row>
    <row r="295" spans="1:10" hidden="1" x14ac:dyDescent="0.35">
      <c r="A295" t="s">
        <v>864</v>
      </c>
      <c r="B295" t="s">
        <v>4</v>
      </c>
      <c r="C295">
        <v>302</v>
      </c>
      <c r="D295">
        <v>150</v>
      </c>
      <c r="E295" t="s">
        <v>866</v>
      </c>
      <c r="F295">
        <v>52.820447000000001</v>
      </c>
      <c r="G295">
        <v>23.813258999999999</v>
      </c>
      <c r="H295" s="1">
        <v>45372</v>
      </c>
      <c r="I295" s="1" t="str">
        <f t="shared" si="4"/>
        <v>March</v>
      </c>
      <c r="J295" t="s">
        <v>5</v>
      </c>
    </row>
    <row r="296" spans="1:10" x14ac:dyDescent="0.35">
      <c r="A296" t="s">
        <v>869</v>
      </c>
      <c r="B296" t="s">
        <v>6</v>
      </c>
      <c r="C296">
        <v>1.2</v>
      </c>
      <c r="D296">
        <v>29</v>
      </c>
      <c r="E296" t="s">
        <v>865</v>
      </c>
      <c r="F296">
        <v>48.503794999999997</v>
      </c>
      <c r="G296">
        <v>20.555931999999999</v>
      </c>
      <c r="H296" s="1">
        <v>45372</v>
      </c>
      <c r="I296" s="1" t="str">
        <f t="shared" si="4"/>
        <v>March</v>
      </c>
      <c r="J296" t="s">
        <v>5</v>
      </c>
    </row>
    <row r="297" spans="1:10" x14ac:dyDescent="0.35">
      <c r="A297" t="s">
        <v>869</v>
      </c>
      <c r="B297" t="s">
        <v>4</v>
      </c>
      <c r="C297">
        <v>1.2</v>
      </c>
      <c r="D297">
        <v>25</v>
      </c>
      <c r="E297" t="s">
        <v>865</v>
      </c>
      <c r="F297">
        <v>52.214156000000003</v>
      </c>
      <c r="G297">
        <v>21.032499999999999</v>
      </c>
      <c r="H297" s="1">
        <v>45372</v>
      </c>
      <c r="I297" s="1" t="str">
        <f t="shared" si="4"/>
        <v>March</v>
      </c>
      <c r="J297" t="s">
        <v>5</v>
      </c>
    </row>
    <row r="298" spans="1:10" x14ac:dyDescent="0.35">
      <c r="A298" t="s">
        <v>867</v>
      </c>
      <c r="B298" t="s">
        <v>4</v>
      </c>
      <c r="C298">
        <v>171</v>
      </c>
      <c r="D298">
        <v>75</v>
      </c>
      <c r="E298" t="s">
        <v>865</v>
      </c>
      <c r="F298">
        <v>52.831229</v>
      </c>
      <c r="G298">
        <v>23.814122999999999</v>
      </c>
      <c r="H298" s="1">
        <v>45372</v>
      </c>
      <c r="I298" s="1" t="str">
        <f t="shared" si="4"/>
        <v>March</v>
      </c>
      <c r="J298" t="s">
        <v>5</v>
      </c>
    </row>
    <row r="299" spans="1:10" hidden="1" x14ac:dyDescent="0.35">
      <c r="A299" t="s">
        <v>867</v>
      </c>
      <c r="B299" t="s">
        <v>4</v>
      </c>
      <c r="C299">
        <v>18</v>
      </c>
      <c r="D299">
        <v>73</v>
      </c>
      <c r="E299" t="s">
        <v>866</v>
      </c>
      <c r="F299">
        <v>52.832726000000001</v>
      </c>
      <c r="G299">
        <v>23.825032</v>
      </c>
      <c r="H299" s="1">
        <v>45372</v>
      </c>
      <c r="I299" s="1" t="str">
        <f t="shared" si="4"/>
        <v>March</v>
      </c>
      <c r="J299" t="s">
        <v>5</v>
      </c>
    </row>
    <row r="300" spans="1:10" x14ac:dyDescent="0.35">
      <c r="A300" t="s">
        <v>868</v>
      </c>
      <c r="B300" t="s">
        <v>4</v>
      </c>
      <c r="C300">
        <v>0.33</v>
      </c>
      <c r="D300">
        <v>23</v>
      </c>
      <c r="E300" t="s">
        <v>865</v>
      </c>
      <c r="F300">
        <v>50.041479000000002</v>
      </c>
      <c r="G300">
        <v>19.951211000000001</v>
      </c>
      <c r="H300" s="1">
        <v>45372</v>
      </c>
      <c r="I300" s="1" t="str">
        <f t="shared" si="4"/>
        <v>March</v>
      </c>
      <c r="J300" t="s">
        <v>5</v>
      </c>
    </row>
    <row r="301" spans="1:10" x14ac:dyDescent="0.35">
      <c r="A301" t="s">
        <v>868</v>
      </c>
      <c r="B301" t="s">
        <v>4</v>
      </c>
      <c r="C301">
        <v>0.32800000000000001</v>
      </c>
      <c r="D301">
        <v>20</v>
      </c>
      <c r="E301" t="s">
        <v>865</v>
      </c>
      <c r="F301">
        <v>50.041153999999999</v>
      </c>
      <c r="G301">
        <v>19.949919000000001</v>
      </c>
      <c r="H301" s="1">
        <v>45372</v>
      </c>
      <c r="I301" s="1" t="str">
        <f t="shared" si="4"/>
        <v>March</v>
      </c>
      <c r="J301" t="s">
        <v>5</v>
      </c>
    </row>
    <row r="302" spans="1:10" x14ac:dyDescent="0.35">
      <c r="A302" t="s">
        <v>868</v>
      </c>
      <c r="B302" t="s">
        <v>6</v>
      </c>
      <c r="C302">
        <v>0.315</v>
      </c>
      <c r="D302">
        <v>19</v>
      </c>
      <c r="E302" t="s">
        <v>865</v>
      </c>
      <c r="F302">
        <v>47.506413999999999</v>
      </c>
      <c r="G302">
        <v>18.941655000000001</v>
      </c>
      <c r="H302" s="1">
        <v>45372</v>
      </c>
      <c r="I302" s="1" t="str">
        <f t="shared" si="4"/>
        <v>March</v>
      </c>
      <c r="J302" t="s">
        <v>5</v>
      </c>
    </row>
    <row r="303" spans="1:10" x14ac:dyDescent="0.35">
      <c r="A303" t="s">
        <v>869</v>
      </c>
      <c r="B303" t="s">
        <v>12</v>
      </c>
      <c r="C303">
        <v>0.8</v>
      </c>
      <c r="D303">
        <v>24</v>
      </c>
      <c r="E303" t="s">
        <v>865</v>
      </c>
      <c r="F303">
        <v>47.781236</v>
      </c>
      <c r="G303">
        <v>14.382218999999999</v>
      </c>
      <c r="H303" s="1">
        <v>45372</v>
      </c>
      <c r="I303" s="1" t="str">
        <f t="shared" si="4"/>
        <v>March</v>
      </c>
      <c r="J303" t="s">
        <v>8</v>
      </c>
    </row>
    <row r="304" spans="1:10" hidden="1" x14ac:dyDescent="0.35">
      <c r="A304" t="s">
        <v>869</v>
      </c>
      <c r="B304" t="s">
        <v>870</v>
      </c>
      <c r="C304">
        <v>0.6</v>
      </c>
      <c r="D304">
        <v>14</v>
      </c>
      <c r="E304" t="s">
        <v>866</v>
      </c>
      <c r="F304">
        <v>47.781247999999998</v>
      </c>
      <c r="G304">
        <v>14.382649000000001</v>
      </c>
      <c r="H304" s="1">
        <v>45372</v>
      </c>
      <c r="I304" s="1" t="str">
        <f t="shared" si="4"/>
        <v>March</v>
      </c>
      <c r="J304" t="s">
        <v>8</v>
      </c>
    </row>
    <row r="305" spans="1:10" x14ac:dyDescent="0.35">
      <c r="A305" t="s">
        <v>869</v>
      </c>
      <c r="B305" t="s">
        <v>7</v>
      </c>
      <c r="C305">
        <v>1.1000000000000001</v>
      </c>
      <c r="D305">
        <v>21</v>
      </c>
      <c r="E305" t="s">
        <v>865</v>
      </c>
      <c r="F305">
        <v>52.585628</v>
      </c>
      <c r="G305">
        <v>13.149093000000001</v>
      </c>
      <c r="H305" s="1">
        <v>45372</v>
      </c>
      <c r="I305" s="1" t="str">
        <f t="shared" si="4"/>
        <v>March</v>
      </c>
      <c r="J305" t="s">
        <v>8</v>
      </c>
    </row>
    <row r="306" spans="1:10" hidden="1" x14ac:dyDescent="0.35">
      <c r="A306" t="s">
        <v>869</v>
      </c>
      <c r="B306" t="s">
        <v>7</v>
      </c>
      <c r="C306">
        <v>1.1000000000000001</v>
      </c>
      <c r="D306">
        <v>22</v>
      </c>
      <c r="E306" t="s">
        <v>866</v>
      </c>
      <c r="F306">
        <v>52.583289999999998</v>
      </c>
      <c r="G306">
        <v>13.149155</v>
      </c>
      <c r="H306" s="1">
        <v>45372</v>
      </c>
      <c r="I306" s="1" t="str">
        <f t="shared" si="4"/>
        <v>March</v>
      </c>
      <c r="J306" t="s">
        <v>8</v>
      </c>
    </row>
    <row r="307" spans="1:10" hidden="1" x14ac:dyDescent="0.35">
      <c r="A307" t="s">
        <v>867</v>
      </c>
      <c r="B307" t="s">
        <v>12</v>
      </c>
      <c r="C307">
        <v>20</v>
      </c>
      <c r="D307">
        <v>74</v>
      </c>
      <c r="E307" t="s">
        <v>866</v>
      </c>
      <c r="F307">
        <v>47.781106000000001</v>
      </c>
      <c r="G307">
        <v>14.382184000000001</v>
      </c>
      <c r="H307" s="1">
        <v>45372</v>
      </c>
      <c r="I307" s="1" t="str">
        <f t="shared" si="4"/>
        <v>March</v>
      </c>
      <c r="J307" t="s">
        <v>8</v>
      </c>
    </row>
    <row r="308" spans="1:10" x14ac:dyDescent="0.35">
      <c r="A308" t="s">
        <v>868</v>
      </c>
      <c r="B308" t="s">
        <v>7</v>
      </c>
      <c r="C308">
        <v>0.32300000000000001</v>
      </c>
      <c r="D308">
        <v>20</v>
      </c>
      <c r="E308" t="s">
        <v>865</v>
      </c>
      <c r="F308">
        <v>52.581896</v>
      </c>
      <c r="G308">
        <v>13.151801000000001</v>
      </c>
      <c r="H308" s="1">
        <v>45372</v>
      </c>
      <c r="I308" s="1" t="str">
        <f t="shared" si="4"/>
        <v>March</v>
      </c>
      <c r="J308" t="s">
        <v>8</v>
      </c>
    </row>
    <row r="309" spans="1:10" hidden="1" x14ac:dyDescent="0.35">
      <c r="A309" t="s">
        <v>868</v>
      </c>
      <c r="B309" t="s">
        <v>7</v>
      </c>
      <c r="C309">
        <v>0.27600000000000002</v>
      </c>
      <c r="D309">
        <v>21</v>
      </c>
      <c r="E309" t="s">
        <v>866</v>
      </c>
      <c r="F309">
        <v>52.581885</v>
      </c>
      <c r="G309">
        <v>13.152811</v>
      </c>
      <c r="H309" s="1">
        <v>45372</v>
      </c>
      <c r="I309" s="1" t="str">
        <f t="shared" si="4"/>
        <v>March</v>
      </c>
      <c r="J309" t="s">
        <v>8</v>
      </c>
    </row>
    <row r="310" spans="1:10" x14ac:dyDescent="0.35">
      <c r="A310" t="s">
        <v>868</v>
      </c>
      <c r="B310" t="s">
        <v>7</v>
      </c>
      <c r="C310">
        <v>0.33900000000000002</v>
      </c>
      <c r="D310">
        <v>21</v>
      </c>
      <c r="E310" t="s">
        <v>865</v>
      </c>
      <c r="F310">
        <v>52.587248000000002</v>
      </c>
      <c r="G310">
        <v>13.151498999999999</v>
      </c>
      <c r="H310" s="1">
        <v>45372</v>
      </c>
      <c r="I310" s="1" t="str">
        <f t="shared" si="4"/>
        <v>March</v>
      </c>
      <c r="J310" t="s">
        <v>8</v>
      </c>
    </row>
    <row r="311" spans="1:10" hidden="1" x14ac:dyDescent="0.35">
      <c r="A311" t="s">
        <v>868</v>
      </c>
      <c r="B311" t="s">
        <v>7</v>
      </c>
      <c r="C311">
        <v>0.34</v>
      </c>
      <c r="D311">
        <v>19</v>
      </c>
      <c r="E311" t="s">
        <v>866</v>
      </c>
      <c r="F311">
        <v>52.582369999999997</v>
      </c>
      <c r="G311">
        <v>13.146855</v>
      </c>
      <c r="H311" s="1">
        <v>45372</v>
      </c>
      <c r="I311" s="1" t="str">
        <f t="shared" si="4"/>
        <v>March</v>
      </c>
      <c r="J311" t="s">
        <v>8</v>
      </c>
    </row>
    <row r="312" spans="1:10" x14ac:dyDescent="0.35">
      <c r="A312" t="s">
        <v>864</v>
      </c>
      <c r="B312" t="s">
        <v>11</v>
      </c>
      <c r="C312">
        <v>750</v>
      </c>
      <c r="D312">
        <v>242</v>
      </c>
      <c r="E312" t="s">
        <v>865</v>
      </c>
      <c r="F312">
        <v>50.638137</v>
      </c>
      <c r="G312">
        <v>14.838129</v>
      </c>
      <c r="H312" s="1">
        <v>45372</v>
      </c>
      <c r="I312" s="1" t="str">
        <f t="shared" si="4"/>
        <v>March</v>
      </c>
      <c r="J312" t="s">
        <v>10</v>
      </c>
    </row>
    <row r="313" spans="1:10" x14ac:dyDescent="0.35">
      <c r="A313" t="s">
        <v>864</v>
      </c>
      <c r="B313" t="s">
        <v>11</v>
      </c>
      <c r="C313">
        <v>35</v>
      </c>
      <c r="D313">
        <v>110</v>
      </c>
      <c r="E313" t="s">
        <v>865</v>
      </c>
      <c r="F313">
        <v>50.640732999999997</v>
      </c>
      <c r="G313">
        <v>14.84516</v>
      </c>
      <c r="H313" s="1">
        <v>45372</v>
      </c>
      <c r="I313" s="1" t="str">
        <f t="shared" si="4"/>
        <v>March</v>
      </c>
      <c r="J313" t="s">
        <v>10</v>
      </c>
    </row>
    <row r="314" spans="1:10" hidden="1" x14ac:dyDescent="0.35">
      <c r="A314" t="s">
        <v>864</v>
      </c>
      <c r="B314" t="s">
        <v>11</v>
      </c>
      <c r="C314">
        <v>360</v>
      </c>
      <c r="D314">
        <v>175</v>
      </c>
      <c r="E314" t="s">
        <v>866</v>
      </c>
      <c r="F314">
        <v>50.636642000000002</v>
      </c>
      <c r="G314">
        <v>14.847946</v>
      </c>
      <c r="H314" s="1">
        <v>45372</v>
      </c>
      <c r="I314" s="1" t="str">
        <f t="shared" si="4"/>
        <v>March</v>
      </c>
      <c r="J314" t="s">
        <v>10</v>
      </c>
    </row>
    <row r="315" spans="1:10" hidden="1" x14ac:dyDescent="0.35">
      <c r="A315" t="s">
        <v>869</v>
      </c>
      <c r="B315" t="s">
        <v>11</v>
      </c>
      <c r="C315">
        <v>1.1000000000000001</v>
      </c>
      <c r="D315">
        <v>18</v>
      </c>
      <c r="E315" t="s">
        <v>866</v>
      </c>
      <c r="F315">
        <v>49.939473999999997</v>
      </c>
      <c r="G315">
        <v>14.180897</v>
      </c>
      <c r="H315" s="1">
        <v>45372</v>
      </c>
      <c r="I315" s="1" t="str">
        <f t="shared" si="4"/>
        <v>March</v>
      </c>
      <c r="J315" t="s">
        <v>10</v>
      </c>
    </row>
    <row r="316" spans="1:10" x14ac:dyDescent="0.35">
      <c r="A316" t="s">
        <v>868</v>
      </c>
      <c r="B316" t="s">
        <v>11</v>
      </c>
      <c r="C316">
        <v>0.33500000000000002</v>
      </c>
      <c r="D316">
        <v>20</v>
      </c>
      <c r="E316" t="s">
        <v>865</v>
      </c>
      <c r="F316">
        <v>49.938958</v>
      </c>
      <c r="G316">
        <v>14.181258</v>
      </c>
      <c r="H316" s="1">
        <v>45372</v>
      </c>
      <c r="I316" s="1" t="str">
        <f t="shared" si="4"/>
        <v>March</v>
      </c>
      <c r="J316" t="s">
        <v>10</v>
      </c>
    </row>
    <row r="317" spans="1:10" x14ac:dyDescent="0.35">
      <c r="A317" t="s">
        <v>868</v>
      </c>
      <c r="B317" t="s">
        <v>9</v>
      </c>
      <c r="C317">
        <v>0.27300000000000002</v>
      </c>
      <c r="D317">
        <v>23</v>
      </c>
      <c r="E317" t="s">
        <v>865</v>
      </c>
      <c r="F317">
        <v>48.185898000000002</v>
      </c>
      <c r="G317">
        <v>17.090682999999999</v>
      </c>
      <c r="H317" s="1">
        <v>45372</v>
      </c>
      <c r="I317" s="1" t="str">
        <f t="shared" si="4"/>
        <v>March</v>
      </c>
      <c r="J317" t="s">
        <v>10</v>
      </c>
    </row>
    <row r="318" spans="1:10" x14ac:dyDescent="0.35">
      <c r="A318" t="s">
        <v>868</v>
      </c>
      <c r="B318" t="s">
        <v>9</v>
      </c>
      <c r="C318">
        <v>0.33</v>
      </c>
      <c r="D318">
        <v>19</v>
      </c>
      <c r="E318" t="s">
        <v>865</v>
      </c>
      <c r="F318">
        <v>48.186672000000002</v>
      </c>
      <c r="G318">
        <v>17.091508000000001</v>
      </c>
      <c r="H318" s="1">
        <v>45372</v>
      </c>
      <c r="I318" s="1" t="str">
        <f t="shared" si="4"/>
        <v>March</v>
      </c>
      <c r="J318" t="s">
        <v>10</v>
      </c>
    </row>
    <row r="319" spans="1:10" hidden="1" x14ac:dyDescent="0.35">
      <c r="A319" t="s">
        <v>868</v>
      </c>
      <c r="B319" t="s">
        <v>9</v>
      </c>
      <c r="C319">
        <v>0.32900000000000001</v>
      </c>
      <c r="D319">
        <v>19</v>
      </c>
      <c r="E319" t="s">
        <v>866</v>
      </c>
      <c r="F319">
        <v>48.18685</v>
      </c>
      <c r="G319">
        <v>17.091228000000001</v>
      </c>
      <c r="H319" s="1">
        <v>45372</v>
      </c>
      <c r="I319" s="1" t="str">
        <f t="shared" si="4"/>
        <v>March</v>
      </c>
      <c r="J319" t="s">
        <v>10</v>
      </c>
    </row>
    <row r="320" spans="1:10" x14ac:dyDescent="0.35">
      <c r="A320" t="s">
        <v>864</v>
      </c>
      <c r="B320" t="s">
        <v>4</v>
      </c>
      <c r="C320">
        <v>1000</v>
      </c>
      <c r="D320">
        <v>320</v>
      </c>
      <c r="E320" t="s">
        <v>865</v>
      </c>
      <c r="F320">
        <v>52.825470000000003</v>
      </c>
      <c r="G320">
        <v>23.81307</v>
      </c>
      <c r="H320" s="1">
        <v>45373</v>
      </c>
      <c r="I320" s="1" t="str">
        <f t="shared" ref="I320:I383" si="5">IF(H320="","",TEXT(H320,"MMMM"))</f>
        <v>March</v>
      </c>
      <c r="J320" t="s">
        <v>5</v>
      </c>
    </row>
    <row r="321" spans="1:10" x14ac:dyDescent="0.35">
      <c r="A321" t="s">
        <v>869</v>
      </c>
      <c r="B321" t="s">
        <v>6</v>
      </c>
      <c r="C321">
        <v>1.1000000000000001</v>
      </c>
      <c r="D321">
        <v>18</v>
      </c>
      <c r="E321" t="s">
        <v>865</v>
      </c>
      <c r="F321">
        <v>48.503062</v>
      </c>
      <c r="G321">
        <v>20.551697999999998</v>
      </c>
      <c r="H321" s="1">
        <v>45373</v>
      </c>
      <c r="I321" s="1" t="str">
        <f t="shared" si="5"/>
        <v>March</v>
      </c>
      <c r="J321" t="s">
        <v>5</v>
      </c>
    </row>
    <row r="322" spans="1:10" x14ac:dyDescent="0.35">
      <c r="A322" t="s">
        <v>868</v>
      </c>
      <c r="B322" t="s">
        <v>7</v>
      </c>
      <c r="C322">
        <v>0.30599999999999999</v>
      </c>
      <c r="D322">
        <v>23</v>
      </c>
      <c r="E322" t="s">
        <v>865</v>
      </c>
      <c r="F322">
        <v>52.584352000000003</v>
      </c>
      <c r="G322">
        <v>13.148089000000001</v>
      </c>
      <c r="H322" s="1">
        <v>45373</v>
      </c>
      <c r="I322" s="1" t="str">
        <f t="shared" si="5"/>
        <v>March</v>
      </c>
      <c r="J322" t="s">
        <v>8</v>
      </c>
    </row>
    <row r="323" spans="1:10" x14ac:dyDescent="0.35">
      <c r="A323" t="s">
        <v>868</v>
      </c>
      <c r="B323" t="s">
        <v>7</v>
      </c>
      <c r="C323">
        <v>0.33400000000000002</v>
      </c>
      <c r="D323">
        <v>19</v>
      </c>
      <c r="E323" t="s">
        <v>865</v>
      </c>
      <c r="F323">
        <v>52.587862999999999</v>
      </c>
      <c r="G323">
        <v>13.147785000000001</v>
      </c>
      <c r="H323" s="1">
        <v>45373</v>
      </c>
      <c r="I323" s="1" t="str">
        <f t="shared" si="5"/>
        <v>March</v>
      </c>
      <c r="J323" t="s">
        <v>8</v>
      </c>
    </row>
    <row r="324" spans="1:10" x14ac:dyDescent="0.35">
      <c r="A324" t="s">
        <v>868</v>
      </c>
      <c r="B324" t="s">
        <v>7</v>
      </c>
      <c r="C324">
        <v>0.33400000000000002</v>
      </c>
      <c r="D324">
        <v>21</v>
      </c>
      <c r="E324" t="s">
        <v>865</v>
      </c>
      <c r="F324">
        <v>52.587733999999998</v>
      </c>
      <c r="G324">
        <v>13.151377999999999</v>
      </c>
      <c r="H324" s="1">
        <v>45373</v>
      </c>
      <c r="I324" s="1" t="str">
        <f t="shared" si="5"/>
        <v>March</v>
      </c>
      <c r="J324" t="s">
        <v>8</v>
      </c>
    </row>
    <row r="325" spans="1:10" hidden="1" x14ac:dyDescent="0.35">
      <c r="A325" t="s">
        <v>868</v>
      </c>
      <c r="B325" t="s">
        <v>7</v>
      </c>
      <c r="C325">
        <v>0.32900000000000001</v>
      </c>
      <c r="D325">
        <v>19</v>
      </c>
      <c r="E325" t="s">
        <v>866</v>
      </c>
      <c r="F325">
        <v>52.582754000000001</v>
      </c>
      <c r="G325">
        <v>13.145364000000001</v>
      </c>
      <c r="H325" s="1">
        <v>45373</v>
      </c>
      <c r="I325" s="1" t="str">
        <f t="shared" si="5"/>
        <v>March</v>
      </c>
      <c r="J325" t="s">
        <v>8</v>
      </c>
    </row>
    <row r="326" spans="1:10" x14ac:dyDescent="0.35">
      <c r="A326" t="s">
        <v>868</v>
      </c>
      <c r="B326" t="s">
        <v>7</v>
      </c>
      <c r="C326">
        <v>0.317</v>
      </c>
      <c r="D326">
        <v>22</v>
      </c>
      <c r="E326" t="s">
        <v>865</v>
      </c>
      <c r="F326">
        <v>52.585517000000003</v>
      </c>
      <c r="G326">
        <v>13.150878000000001</v>
      </c>
      <c r="H326" s="1">
        <v>45373</v>
      </c>
      <c r="I326" s="1" t="str">
        <f t="shared" si="5"/>
        <v>March</v>
      </c>
      <c r="J326" t="s">
        <v>8</v>
      </c>
    </row>
    <row r="327" spans="1:10" hidden="1" x14ac:dyDescent="0.35">
      <c r="A327" t="s">
        <v>868</v>
      </c>
      <c r="B327" t="s">
        <v>7</v>
      </c>
      <c r="C327">
        <v>0.26700000000000002</v>
      </c>
      <c r="D327">
        <v>21</v>
      </c>
      <c r="E327" t="s">
        <v>866</v>
      </c>
      <c r="F327">
        <v>52.588833999999999</v>
      </c>
      <c r="G327">
        <v>13.15192</v>
      </c>
      <c r="H327" s="1">
        <v>45373</v>
      </c>
      <c r="I327" s="1" t="str">
        <f t="shared" si="5"/>
        <v>March</v>
      </c>
      <c r="J327" t="s">
        <v>8</v>
      </c>
    </row>
    <row r="328" spans="1:10" x14ac:dyDescent="0.35">
      <c r="A328" t="s">
        <v>864</v>
      </c>
      <c r="B328" t="s">
        <v>11</v>
      </c>
      <c r="C328">
        <v>603</v>
      </c>
      <c r="D328">
        <v>291</v>
      </c>
      <c r="E328" t="s">
        <v>865</v>
      </c>
      <c r="F328">
        <v>50.644812999999999</v>
      </c>
      <c r="G328">
        <v>14.839817</v>
      </c>
      <c r="H328" s="1">
        <v>45373</v>
      </c>
      <c r="I328" s="1" t="str">
        <f t="shared" si="5"/>
        <v>March</v>
      </c>
      <c r="J328" t="s">
        <v>10</v>
      </c>
    </row>
    <row r="329" spans="1:10" x14ac:dyDescent="0.35">
      <c r="A329" t="s">
        <v>864</v>
      </c>
      <c r="B329" t="s">
        <v>11</v>
      </c>
      <c r="C329">
        <v>717</v>
      </c>
      <c r="D329">
        <v>305</v>
      </c>
      <c r="E329" t="s">
        <v>865</v>
      </c>
      <c r="F329">
        <v>50.635565</v>
      </c>
      <c r="G329">
        <v>14.839320000000001</v>
      </c>
      <c r="H329" s="1">
        <v>45373</v>
      </c>
      <c r="I329" s="1" t="str">
        <f t="shared" si="5"/>
        <v>March</v>
      </c>
      <c r="J329" t="s">
        <v>10</v>
      </c>
    </row>
    <row r="330" spans="1:10" hidden="1" x14ac:dyDescent="0.35">
      <c r="A330" t="s">
        <v>864</v>
      </c>
      <c r="B330" t="s">
        <v>11</v>
      </c>
      <c r="C330">
        <v>390</v>
      </c>
      <c r="D330">
        <v>145</v>
      </c>
      <c r="E330" t="s">
        <v>866</v>
      </c>
      <c r="F330">
        <v>50.639856000000002</v>
      </c>
      <c r="G330">
        <v>14.847626</v>
      </c>
      <c r="H330" s="1">
        <v>45373</v>
      </c>
      <c r="I330" s="1" t="str">
        <f t="shared" si="5"/>
        <v>March</v>
      </c>
      <c r="J330" t="s">
        <v>10</v>
      </c>
    </row>
    <row r="331" spans="1:10" hidden="1" x14ac:dyDescent="0.35">
      <c r="A331" t="s">
        <v>869</v>
      </c>
      <c r="B331" t="s">
        <v>11</v>
      </c>
      <c r="C331">
        <v>0.6</v>
      </c>
      <c r="D331">
        <v>21</v>
      </c>
      <c r="E331" t="s">
        <v>866</v>
      </c>
      <c r="F331">
        <v>49.939062</v>
      </c>
      <c r="G331">
        <v>14.178750000000001</v>
      </c>
      <c r="H331" s="1">
        <v>45373</v>
      </c>
      <c r="I331" s="1" t="str">
        <f t="shared" si="5"/>
        <v>March</v>
      </c>
      <c r="J331" t="s">
        <v>10</v>
      </c>
    </row>
    <row r="332" spans="1:10" x14ac:dyDescent="0.35">
      <c r="A332" t="s">
        <v>869</v>
      </c>
      <c r="B332" t="s">
        <v>11</v>
      </c>
      <c r="C332">
        <v>1.1000000000000001</v>
      </c>
      <c r="D332">
        <v>21</v>
      </c>
      <c r="E332" t="s">
        <v>865</v>
      </c>
      <c r="F332">
        <v>49.939165000000003</v>
      </c>
      <c r="G332">
        <v>14.182528</v>
      </c>
      <c r="H332" s="1">
        <v>45373</v>
      </c>
      <c r="I332" s="1" t="str">
        <f t="shared" si="5"/>
        <v>March</v>
      </c>
      <c r="J332" t="s">
        <v>10</v>
      </c>
    </row>
    <row r="333" spans="1:10" hidden="1" x14ac:dyDescent="0.35">
      <c r="A333" t="s">
        <v>869</v>
      </c>
      <c r="B333" t="s">
        <v>11</v>
      </c>
      <c r="C333">
        <v>0.7</v>
      </c>
      <c r="D333">
        <v>18</v>
      </c>
      <c r="E333" t="s">
        <v>866</v>
      </c>
      <c r="F333">
        <v>49.937562</v>
      </c>
      <c r="G333">
        <v>14.181101</v>
      </c>
      <c r="H333" s="1">
        <v>45373</v>
      </c>
      <c r="I333" s="1" t="str">
        <f t="shared" si="5"/>
        <v>March</v>
      </c>
      <c r="J333" t="s">
        <v>10</v>
      </c>
    </row>
    <row r="334" spans="1:10" x14ac:dyDescent="0.35">
      <c r="A334" t="s">
        <v>869</v>
      </c>
      <c r="B334" t="s">
        <v>11</v>
      </c>
      <c r="C334">
        <v>1.2</v>
      </c>
      <c r="D334">
        <v>23</v>
      </c>
      <c r="E334" t="s">
        <v>865</v>
      </c>
      <c r="F334">
        <v>49.939200999999997</v>
      </c>
      <c r="G334">
        <v>14.178922999999999</v>
      </c>
      <c r="H334" s="1">
        <v>45373</v>
      </c>
      <c r="I334" s="1" t="str">
        <f t="shared" si="5"/>
        <v>March</v>
      </c>
      <c r="J334" t="s">
        <v>10</v>
      </c>
    </row>
    <row r="335" spans="1:10" hidden="1" x14ac:dyDescent="0.35">
      <c r="A335" t="s">
        <v>867</v>
      </c>
      <c r="B335" t="s">
        <v>9</v>
      </c>
      <c r="C335">
        <v>25</v>
      </c>
      <c r="D335">
        <v>96</v>
      </c>
      <c r="E335" t="s">
        <v>866</v>
      </c>
      <c r="F335">
        <v>48.410693000000002</v>
      </c>
      <c r="G335">
        <v>18.832844999999999</v>
      </c>
      <c r="H335" s="1">
        <v>45373</v>
      </c>
      <c r="I335" s="1" t="str">
        <f t="shared" si="5"/>
        <v>March</v>
      </c>
      <c r="J335" t="s">
        <v>10</v>
      </c>
    </row>
    <row r="336" spans="1:10" hidden="1" x14ac:dyDescent="0.35">
      <c r="A336" t="s">
        <v>864</v>
      </c>
      <c r="B336" t="s">
        <v>4</v>
      </c>
      <c r="C336">
        <v>660</v>
      </c>
      <c r="D336">
        <v>246</v>
      </c>
      <c r="E336" t="s">
        <v>866</v>
      </c>
      <c r="F336">
        <v>52.824078999999998</v>
      </c>
      <c r="G336">
        <v>23.81279</v>
      </c>
      <c r="H336" s="1">
        <v>45374</v>
      </c>
      <c r="I336" s="1" t="str">
        <f t="shared" si="5"/>
        <v>March</v>
      </c>
      <c r="J336" t="s">
        <v>5</v>
      </c>
    </row>
    <row r="337" spans="1:10" hidden="1" x14ac:dyDescent="0.35">
      <c r="A337" t="s">
        <v>864</v>
      </c>
      <c r="B337" t="s">
        <v>4</v>
      </c>
      <c r="C337">
        <v>619</v>
      </c>
      <c r="D337">
        <v>248</v>
      </c>
      <c r="E337" t="s">
        <v>866</v>
      </c>
      <c r="F337">
        <v>52.826081000000002</v>
      </c>
      <c r="G337">
        <v>23.815823000000002</v>
      </c>
      <c r="H337" s="1">
        <v>45374</v>
      </c>
      <c r="I337" s="1" t="str">
        <f t="shared" si="5"/>
        <v>March</v>
      </c>
      <c r="J337" t="s">
        <v>5</v>
      </c>
    </row>
    <row r="338" spans="1:10" hidden="1" x14ac:dyDescent="0.35">
      <c r="A338" t="s">
        <v>869</v>
      </c>
      <c r="B338" t="s">
        <v>6</v>
      </c>
      <c r="C338">
        <v>0.6</v>
      </c>
      <c r="D338">
        <v>19</v>
      </c>
      <c r="E338" t="s">
        <v>866</v>
      </c>
      <c r="F338">
        <v>48.503498</v>
      </c>
      <c r="G338">
        <v>20.539662</v>
      </c>
      <c r="H338" s="1">
        <v>45374</v>
      </c>
      <c r="I338" s="1" t="str">
        <f t="shared" si="5"/>
        <v>March</v>
      </c>
      <c r="J338" t="s">
        <v>5</v>
      </c>
    </row>
    <row r="339" spans="1:10" x14ac:dyDescent="0.35">
      <c r="A339" t="s">
        <v>869</v>
      </c>
      <c r="B339" t="s">
        <v>6</v>
      </c>
      <c r="C339">
        <v>0.8</v>
      </c>
      <c r="D339">
        <v>25</v>
      </c>
      <c r="E339" t="s">
        <v>865</v>
      </c>
      <c r="F339">
        <v>48.509298000000001</v>
      </c>
      <c r="G339">
        <v>20.551977000000001</v>
      </c>
      <c r="H339" s="1">
        <v>45374</v>
      </c>
      <c r="I339" s="1" t="str">
        <f t="shared" si="5"/>
        <v>March</v>
      </c>
      <c r="J339" t="s">
        <v>5</v>
      </c>
    </row>
    <row r="340" spans="1:10" hidden="1" x14ac:dyDescent="0.35">
      <c r="A340" t="s">
        <v>869</v>
      </c>
      <c r="B340" t="s">
        <v>6</v>
      </c>
      <c r="C340">
        <v>0.4</v>
      </c>
      <c r="D340">
        <v>15</v>
      </c>
      <c r="E340" t="s">
        <v>866</v>
      </c>
      <c r="F340">
        <v>48.506205999999999</v>
      </c>
      <c r="G340">
        <v>20.565308000000002</v>
      </c>
      <c r="H340" s="1">
        <v>45374</v>
      </c>
      <c r="I340" s="1" t="str">
        <f t="shared" si="5"/>
        <v>March</v>
      </c>
      <c r="J340" t="s">
        <v>5</v>
      </c>
    </row>
    <row r="341" spans="1:10" x14ac:dyDescent="0.35">
      <c r="A341" t="s">
        <v>869</v>
      </c>
      <c r="B341" t="s">
        <v>6</v>
      </c>
      <c r="C341">
        <v>1.1000000000000001</v>
      </c>
      <c r="D341">
        <v>22</v>
      </c>
      <c r="E341" t="s">
        <v>865</v>
      </c>
      <c r="F341">
        <v>48.505090000000003</v>
      </c>
      <c r="G341">
        <v>20.539448</v>
      </c>
      <c r="H341" s="1">
        <v>45374</v>
      </c>
      <c r="I341" s="1" t="str">
        <f t="shared" si="5"/>
        <v>March</v>
      </c>
      <c r="J341" t="s">
        <v>5</v>
      </c>
    </row>
    <row r="342" spans="1:10" hidden="1" x14ac:dyDescent="0.35">
      <c r="A342" t="s">
        <v>869</v>
      </c>
      <c r="B342" t="s">
        <v>4</v>
      </c>
      <c r="C342">
        <v>0.8</v>
      </c>
      <c r="D342">
        <v>20</v>
      </c>
      <c r="E342" t="s">
        <v>866</v>
      </c>
      <c r="F342">
        <v>52.215038999999997</v>
      </c>
      <c r="G342">
        <v>21.032591</v>
      </c>
      <c r="H342" s="1">
        <v>45374</v>
      </c>
      <c r="I342" s="1" t="str">
        <f t="shared" si="5"/>
        <v>March</v>
      </c>
      <c r="J342" t="s">
        <v>5</v>
      </c>
    </row>
    <row r="343" spans="1:10" hidden="1" x14ac:dyDescent="0.35">
      <c r="A343" t="s">
        <v>869</v>
      </c>
      <c r="B343" t="s">
        <v>4</v>
      </c>
      <c r="C343">
        <v>0.5</v>
      </c>
      <c r="D343">
        <v>19</v>
      </c>
      <c r="E343" t="s">
        <v>866</v>
      </c>
      <c r="F343">
        <v>52.215085000000002</v>
      </c>
      <c r="G343">
        <v>21.034198</v>
      </c>
      <c r="H343" s="1">
        <v>45374</v>
      </c>
      <c r="I343" s="1" t="str">
        <f t="shared" si="5"/>
        <v>March</v>
      </c>
      <c r="J343" t="s">
        <v>5</v>
      </c>
    </row>
    <row r="344" spans="1:10" hidden="1" x14ac:dyDescent="0.35">
      <c r="A344" t="s">
        <v>868</v>
      </c>
      <c r="B344" t="s">
        <v>4</v>
      </c>
      <c r="C344">
        <v>0.34799999999999998</v>
      </c>
      <c r="D344">
        <v>20</v>
      </c>
      <c r="E344" t="s">
        <v>866</v>
      </c>
      <c r="F344">
        <v>50.04186</v>
      </c>
      <c r="G344">
        <v>19.950192000000001</v>
      </c>
      <c r="H344" s="1">
        <v>45374</v>
      </c>
      <c r="I344" s="1" t="str">
        <f t="shared" si="5"/>
        <v>March</v>
      </c>
      <c r="J344" t="s">
        <v>5</v>
      </c>
    </row>
    <row r="345" spans="1:10" x14ac:dyDescent="0.35">
      <c r="A345" t="s">
        <v>868</v>
      </c>
      <c r="B345" t="s">
        <v>6</v>
      </c>
      <c r="C345">
        <v>0.30099999999999999</v>
      </c>
      <c r="D345">
        <v>18</v>
      </c>
      <c r="E345" t="s">
        <v>865</v>
      </c>
      <c r="F345">
        <v>47.510260000000002</v>
      </c>
      <c r="G345">
        <v>18.947838000000001</v>
      </c>
      <c r="H345" s="1">
        <v>45374</v>
      </c>
      <c r="I345" s="1" t="str">
        <f t="shared" si="5"/>
        <v>March</v>
      </c>
      <c r="J345" t="s">
        <v>5</v>
      </c>
    </row>
    <row r="346" spans="1:10" hidden="1" x14ac:dyDescent="0.35">
      <c r="A346" t="s">
        <v>869</v>
      </c>
      <c r="B346" t="s">
        <v>11</v>
      </c>
      <c r="C346">
        <v>0.7</v>
      </c>
      <c r="D346">
        <v>20</v>
      </c>
      <c r="E346" t="s">
        <v>866</v>
      </c>
      <c r="F346">
        <v>49.937454000000002</v>
      </c>
      <c r="G346">
        <v>14.182121</v>
      </c>
      <c r="H346" s="1">
        <v>45374</v>
      </c>
      <c r="I346" s="1" t="str">
        <f t="shared" si="5"/>
        <v>March</v>
      </c>
      <c r="J346" t="s">
        <v>10</v>
      </c>
    </row>
    <row r="347" spans="1:10" hidden="1" x14ac:dyDescent="0.35">
      <c r="A347" t="s">
        <v>869</v>
      </c>
      <c r="B347" t="s">
        <v>11</v>
      </c>
      <c r="C347">
        <v>1</v>
      </c>
      <c r="D347">
        <v>21</v>
      </c>
      <c r="E347" t="s">
        <v>866</v>
      </c>
      <c r="F347">
        <v>49.937787999999998</v>
      </c>
      <c r="G347">
        <v>14.180368</v>
      </c>
      <c r="H347" s="1">
        <v>45374</v>
      </c>
      <c r="I347" s="1" t="str">
        <f t="shared" si="5"/>
        <v>March</v>
      </c>
      <c r="J347" t="s">
        <v>10</v>
      </c>
    </row>
    <row r="348" spans="1:10" hidden="1" x14ac:dyDescent="0.35">
      <c r="A348" t="s">
        <v>868</v>
      </c>
      <c r="B348" t="s">
        <v>4</v>
      </c>
      <c r="C348">
        <v>0.28599999999999998</v>
      </c>
      <c r="D348">
        <v>20</v>
      </c>
      <c r="E348" t="s">
        <v>866</v>
      </c>
      <c r="F348">
        <v>50.041130000000003</v>
      </c>
      <c r="G348">
        <v>19.949698000000001</v>
      </c>
      <c r="H348" s="1">
        <v>45375</v>
      </c>
      <c r="I348" s="1" t="str">
        <f t="shared" si="5"/>
        <v>March</v>
      </c>
      <c r="J348" t="s">
        <v>5</v>
      </c>
    </row>
    <row r="349" spans="1:10" hidden="1" x14ac:dyDescent="0.35">
      <c r="A349" t="s">
        <v>868</v>
      </c>
      <c r="B349" t="s">
        <v>4</v>
      </c>
      <c r="C349">
        <v>0.28199999999999997</v>
      </c>
      <c r="D349">
        <v>21</v>
      </c>
      <c r="E349" t="s">
        <v>866</v>
      </c>
      <c r="F349">
        <v>50.041522000000001</v>
      </c>
      <c r="G349">
        <v>19.950562999999999</v>
      </c>
      <c r="H349" s="1">
        <v>45375</v>
      </c>
      <c r="I349" s="1" t="str">
        <f t="shared" si="5"/>
        <v>March</v>
      </c>
      <c r="J349" t="s">
        <v>5</v>
      </c>
    </row>
    <row r="350" spans="1:10" x14ac:dyDescent="0.35">
      <c r="A350" t="s">
        <v>869</v>
      </c>
      <c r="B350" t="s">
        <v>12</v>
      </c>
      <c r="C350">
        <v>0.8</v>
      </c>
      <c r="D350">
        <v>18</v>
      </c>
      <c r="E350" t="s">
        <v>865</v>
      </c>
      <c r="F350">
        <v>47.781882000000003</v>
      </c>
      <c r="G350">
        <v>14.384802000000001</v>
      </c>
      <c r="H350" s="1">
        <v>45375</v>
      </c>
      <c r="I350" s="1" t="str">
        <f t="shared" si="5"/>
        <v>March</v>
      </c>
      <c r="J350" t="s">
        <v>8</v>
      </c>
    </row>
    <row r="351" spans="1:10" x14ac:dyDescent="0.35">
      <c r="A351" t="s">
        <v>869</v>
      </c>
      <c r="B351" t="s">
        <v>12</v>
      </c>
      <c r="C351">
        <v>0.6</v>
      </c>
      <c r="D351">
        <v>19</v>
      </c>
      <c r="E351" t="s">
        <v>865</v>
      </c>
      <c r="F351">
        <v>47.781019000000001</v>
      </c>
      <c r="G351">
        <v>14.385089000000001</v>
      </c>
      <c r="H351" s="1">
        <v>45375</v>
      </c>
      <c r="I351" s="1" t="str">
        <f t="shared" si="5"/>
        <v>March</v>
      </c>
      <c r="J351" t="s">
        <v>8</v>
      </c>
    </row>
    <row r="352" spans="1:10" x14ac:dyDescent="0.35">
      <c r="A352" t="s">
        <v>869</v>
      </c>
      <c r="B352" t="s">
        <v>12</v>
      </c>
      <c r="C352">
        <v>0.5</v>
      </c>
      <c r="D352">
        <v>20</v>
      </c>
      <c r="E352" t="s">
        <v>865</v>
      </c>
      <c r="F352">
        <v>47.319781999999996</v>
      </c>
      <c r="G352">
        <v>11.190835999999999</v>
      </c>
      <c r="H352" s="1">
        <v>45375</v>
      </c>
      <c r="I352" s="1" t="str">
        <f t="shared" si="5"/>
        <v>March</v>
      </c>
      <c r="J352" t="s">
        <v>8</v>
      </c>
    </row>
    <row r="353" spans="1:10" hidden="1" x14ac:dyDescent="0.35">
      <c r="A353" t="s">
        <v>869</v>
      </c>
      <c r="B353" t="s">
        <v>12</v>
      </c>
      <c r="C353">
        <v>0.6</v>
      </c>
      <c r="D353">
        <v>16</v>
      </c>
      <c r="E353" t="s">
        <v>866</v>
      </c>
      <c r="F353">
        <v>47.32002</v>
      </c>
      <c r="G353">
        <v>11.18557</v>
      </c>
      <c r="H353" s="1">
        <v>45375</v>
      </c>
      <c r="I353" s="1" t="str">
        <f t="shared" si="5"/>
        <v>March</v>
      </c>
      <c r="J353" t="s">
        <v>8</v>
      </c>
    </row>
    <row r="354" spans="1:10" x14ac:dyDescent="0.35">
      <c r="A354" t="s">
        <v>869</v>
      </c>
      <c r="B354" t="s">
        <v>12</v>
      </c>
      <c r="C354">
        <v>0.6</v>
      </c>
      <c r="D354">
        <v>20</v>
      </c>
      <c r="E354" t="s">
        <v>865</v>
      </c>
      <c r="F354">
        <v>47.318792999999999</v>
      </c>
      <c r="G354">
        <v>11.185855</v>
      </c>
      <c r="H354" s="1">
        <v>45375</v>
      </c>
      <c r="I354" s="1" t="str">
        <f t="shared" si="5"/>
        <v>March</v>
      </c>
      <c r="J354" t="s">
        <v>8</v>
      </c>
    </row>
    <row r="355" spans="1:10" hidden="1" x14ac:dyDescent="0.35">
      <c r="A355" t="s">
        <v>869</v>
      </c>
      <c r="B355" t="s">
        <v>12</v>
      </c>
      <c r="C355">
        <v>1.1000000000000001</v>
      </c>
      <c r="D355">
        <v>23</v>
      </c>
      <c r="E355" t="s">
        <v>866</v>
      </c>
      <c r="F355">
        <v>47.316963000000001</v>
      </c>
      <c r="G355">
        <v>11.188761</v>
      </c>
      <c r="H355" s="1">
        <v>45375</v>
      </c>
      <c r="I355" s="1" t="str">
        <f t="shared" si="5"/>
        <v>March</v>
      </c>
      <c r="J355" t="s">
        <v>8</v>
      </c>
    </row>
    <row r="356" spans="1:10" x14ac:dyDescent="0.35">
      <c r="A356" t="s">
        <v>869</v>
      </c>
      <c r="B356" t="s">
        <v>7</v>
      </c>
      <c r="C356">
        <v>0.8</v>
      </c>
      <c r="D356">
        <v>16</v>
      </c>
      <c r="E356" t="s">
        <v>865</v>
      </c>
      <c r="F356">
        <v>52.582071999999997</v>
      </c>
      <c r="G356">
        <v>13.149184999999999</v>
      </c>
      <c r="H356" s="1">
        <v>45375</v>
      </c>
      <c r="I356" s="1" t="str">
        <f t="shared" si="5"/>
        <v>March</v>
      </c>
      <c r="J356" t="s">
        <v>8</v>
      </c>
    </row>
    <row r="357" spans="1:10" x14ac:dyDescent="0.35">
      <c r="A357" t="s">
        <v>869</v>
      </c>
      <c r="B357" t="s">
        <v>7</v>
      </c>
      <c r="C357">
        <v>1.2</v>
      </c>
      <c r="D357">
        <v>23</v>
      </c>
      <c r="E357" t="s">
        <v>865</v>
      </c>
      <c r="F357">
        <v>52.585720000000002</v>
      </c>
      <c r="G357">
        <v>13.148612999999999</v>
      </c>
      <c r="H357" s="1">
        <v>45375</v>
      </c>
      <c r="I357" s="1" t="str">
        <f t="shared" si="5"/>
        <v>March</v>
      </c>
      <c r="J357" t="s">
        <v>8</v>
      </c>
    </row>
    <row r="358" spans="1:10" hidden="1" x14ac:dyDescent="0.35">
      <c r="A358" t="s">
        <v>869</v>
      </c>
      <c r="B358" t="s">
        <v>7</v>
      </c>
      <c r="C358">
        <v>0.7</v>
      </c>
      <c r="D358">
        <v>19</v>
      </c>
      <c r="E358" t="s">
        <v>866</v>
      </c>
      <c r="F358">
        <v>52.587826999999997</v>
      </c>
      <c r="G358">
        <v>13.148164</v>
      </c>
      <c r="H358" s="1">
        <v>45375</v>
      </c>
      <c r="I358" s="1" t="str">
        <f t="shared" si="5"/>
        <v>March</v>
      </c>
      <c r="J358" t="s">
        <v>8</v>
      </c>
    </row>
    <row r="359" spans="1:10" hidden="1" x14ac:dyDescent="0.35">
      <c r="A359" t="s">
        <v>869</v>
      </c>
      <c r="B359" t="s">
        <v>7</v>
      </c>
      <c r="C359">
        <v>0.9</v>
      </c>
      <c r="D359">
        <v>151</v>
      </c>
      <c r="E359" t="s">
        <v>866</v>
      </c>
      <c r="F359">
        <v>52.583004000000003</v>
      </c>
      <c r="G359">
        <v>13.150686</v>
      </c>
      <c r="H359" s="1">
        <v>45375</v>
      </c>
      <c r="I359" s="1" t="str">
        <f t="shared" si="5"/>
        <v>March</v>
      </c>
      <c r="J359" t="s">
        <v>8</v>
      </c>
    </row>
    <row r="360" spans="1:10" x14ac:dyDescent="0.35">
      <c r="A360" t="s">
        <v>869</v>
      </c>
      <c r="B360" t="s">
        <v>7</v>
      </c>
      <c r="C360">
        <v>1.2</v>
      </c>
      <c r="D360">
        <v>22</v>
      </c>
      <c r="E360" t="s">
        <v>865</v>
      </c>
      <c r="F360">
        <v>52.587057999999999</v>
      </c>
      <c r="G360">
        <v>13.149675</v>
      </c>
      <c r="H360" s="1">
        <v>45375</v>
      </c>
      <c r="I360" s="1" t="str">
        <f t="shared" si="5"/>
        <v>March</v>
      </c>
      <c r="J360" t="s">
        <v>8</v>
      </c>
    </row>
    <row r="361" spans="1:10" hidden="1" x14ac:dyDescent="0.35">
      <c r="A361" t="s">
        <v>869</v>
      </c>
      <c r="B361" t="s">
        <v>7</v>
      </c>
      <c r="C361">
        <v>0.7</v>
      </c>
      <c r="D361">
        <v>16</v>
      </c>
      <c r="E361" t="s">
        <v>866</v>
      </c>
      <c r="F361">
        <v>52.587539</v>
      </c>
      <c r="G361">
        <v>13.146575</v>
      </c>
      <c r="H361" s="1">
        <v>45375</v>
      </c>
      <c r="I361" s="1" t="str">
        <f t="shared" si="5"/>
        <v>March</v>
      </c>
      <c r="J361" t="s">
        <v>8</v>
      </c>
    </row>
    <row r="362" spans="1:10" x14ac:dyDescent="0.35">
      <c r="A362" t="s">
        <v>869</v>
      </c>
      <c r="B362" t="s">
        <v>7</v>
      </c>
      <c r="C362">
        <v>0.6</v>
      </c>
      <c r="D362">
        <v>25</v>
      </c>
      <c r="E362" t="s">
        <v>865</v>
      </c>
      <c r="F362">
        <v>52.587183000000003</v>
      </c>
      <c r="G362">
        <v>13.146661</v>
      </c>
      <c r="H362" s="1">
        <v>45375</v>
      </c>
      <c r="I362" s="1" t="str">
        <f t="shared" si="5"/>
        <v>March</v>
      </c>
      <c r="J362" t="s">
        <v>8</v>
      </c>
    </row>
    <row r="363" spans="1:10" x14ac:dyDescent="0.35">
      <c r="A363" t="s">
        <v>869</v>
      </c>
      <c r="B363" t="s">
        <v>7</v>
      </c>
      <c r="C363">
        <v>1</v>
      </c>
      <c r="D363">
        <v>24</v>
      </c>
      <c r="E363" t="s">
        <v>865</v>
      </c>
      <c r="F363">
        <v>52.586486999999998</v>
      </c>
      <c r="G363">
        <v>13.150015</v>
      </c>
      <c r="H363" s="1">
        <v>45375</v>
      </c>
      <c r="I363" s="1" t="str">
        <f t="shared" si="5"/>
        <v>March</v>
      </c>
      <c r="J363" t="s">
        <v>8</v>
      </c>
    </row>
    <row r="364" spans="1:10" hidden="1" x14ac:dyDescent="0.35">
      <c r="A364" t="s">
        <v>868</v>
      </c>
      <c r="B364" t="s">
        <v>7</v>
      </c>
      <c r="C364">
        <v>0.313</v>
      </c>
      <c r="D364">
        <v>23</v>
      </c>
      <c r="E364" t="s">
        <v>866</v>
      </c>
      <c r="F364">
        <v>52.588779000000002</v>
      </c>
      <c r="G364">
        <v>13.147948</v>
      </c>
      <c r="H364" s="1">
        <v>45375</v>
      </c>
      <c r="I364" s="1" t="str">
        <f t="shared" si="5"/>
        <v>March</v>
      </c>
      <c r="J364" t="s">
        <v>8</v>
      </c>
    </row>
    <row r="365" spans="1:10" x14ac:dyDescent="0.35">
      <c r="A365" t="s">
        <v>868</v>
      </c>
      <c r="B365" t="s">
        <v>7</v>
      </c>
      <c r="C365">
        <v>0.26800000000000002</v>
      </c>
      <c r="D365">
        <v>21</v>
      </c>
      <c r="E365" t="s">
        <v>865</v>
      </c>
      <c r="F365">
        <v>52.587088999999999</v>
      </c>
      <c r="G365">
        <v>13.151807</v>
      </c>
      <c r="H365" s="1">
        <v>45375</v>
      </c>
      <c r="I365" s="1" t="str">
        <f t="shared" si="5"/>
        <v>March</v>
      </c>
      <c r="J365" t="s">
        <v>8</v>
      </c>
    </row>
    <row r="366" spans="1:10" x14ac:dyDescent="0.35">
      <c r="A366" t="s">
        <v>868</v>
      </c>
      <c r="B366" t="s">
        <v>12</v>
      </c>
      <c r="C366">
        <v>0.32300000000000001</v>
      </c>
      <c r="D366">
        <v>21</v>
      </c>
      <c r="E366" t="s">
        <v>865</v>
      </c>
      <c r="F366">
        <v>47.781846999999999</v>
      </c>
      <c r="G366">
        <v>14.386835</v>
      </c>
      <c r="H366" s="1">
        <v>45375</v>
      </c>
      <c r="I366" s="1" t="str">
        <f t="shared" si="5"/>
        <v>March</v>
      </c>
      <c r="J366" t="s">
        <v>8</v>
      </c>
    </row>
    <row r="367" spans="1:10" hidden="1" x14ac:dyDescent="0.35">
      <c r="A367" t="s">
        <v>868</v>
      </c>
      <c r="B367" t="s">
        <v>12</v>
      </c>
      <c r="C367">
        <v>0.27200000000000002</v>
      </c>
      <c r="D367">
        <v>20</v>
      </c>
      <c r="E367" t="s">
        <v>866</v>
      </c>
      <c r="F367">
        <v>47.781295999999998</v>
      </c>
      <c r="G367">
        <v>14.383799</v>
      </c>
      <c r="H367" s="1">
        <v>45375</v>
      </c>
      <c r="I367" s="1" t="str">
        <f t="shared" si="5"/>
        <v>March</v>
      </c>
      <c r="J367" t="s">
        <v>8</v>
      </c>
    </row>
    <row r="368" spans="1:10" x14ac:dyDescent="0.35">
      <c r="A368" t="s">
        <v>868</v>
      </c>
      <c r="B368" t="s">
        <v>12</v>
      </c>
      <c r="C368">
        <v>0.34</v>
      </c>
      <c r="D368">
        <v>20</v>
      </c>
      <c r="E368" t="s">
        <v>865</v>
      </c>
      <c r="F368">
        <v>47.781537999999998</v>
      </c>
      <c r="G368">
        <v>14.384561</v>
      </c>
      <c r="H368" s="1">
        <v>45375</v>
      </c>
      <c r="I368" s="1" t="str">
        <f t="shared" si="5"/>
        <v>March</v>
      </c>
      <c r="J368" t="s">
        <v>8</v>
      </c>
    </row>
    <row r="369" spans="1:10" hidden="1" x14ac:dyDescent="0.35">
      <c r="A369" t="s">
        <v>868</v>
      </c>
      <c r="B369" t="s">
        <v>12</v>
      </c>
      <c r="C369">
        <v>0.33200000000000002</v>
      </c>
      <c r="D369">
        <v>18</v>
      </c>
      <c r="E369" t="s">
        <v>866</v>
      </c>
      <c r="F369">
        <v>47.781345000000002</v>
      </c>
      <c r="G369">
        <v>14.382936000000001</v>
      </c>
      <c r="H369" s="1">
        <v>45375</v>
      </c>
      <c r="I369" s="1" t="str">
        <f t="shared" si="5"/>
        <v>March</v>
      </c>
      <c r="J369" t="s">
        <v>8</v>
      </c>
    </row>
    <row r="370" spans="1:10" hidden="1" x14ac:dyDescent="0.35">
      <c r="A370" t="s">
        <v>868</v>
      </c>
      <c r="B370" t="s">
        <v>7</v>
      </c>
      <c r="C370">
        <v>0.28599999999999998</v>
      </c>
      <c r="D370">
        <v>19</v>
      </c>
      <c r="E370" t="s">
        <v>866</v>
      </c>
      <c r="F370">
        <v>52.582658000000002</v>
      </c>
      <c r="G370">
        <v>13.148057</v>
      </c>
      <c r="H370" s="1">
        <v>45375</v>
      </c>
      <c r="I370" s="1" t="str">
        <f t="shared" si="5"/>
        <v>March</v>
      </c>
      <c r="J370" t="s">
        <v>8</v>
      </c>
    </row>
    <row r="371" spans="1:10" x14ac:dyDescent="0.35">
      <c r="A371" t="s">
        <v>869</v>
      </c>
      <c r="B371" t="s">
        <v>11</v>
      </c>
      <c r="C371">
        <v>0.8</v>
      </c>
      <c r="D371">
        <v>18</v>
      </c>
      <c r="E371" t="s">
        <v>865</v>
      </c>
      <c r="F371">
        <v>49.938687999999999</v>
      </c>
      <c r="G371">
        <v>14.179603</v>
      </c>
      <c r="H371" s="1">
        <v>45375</v>
      </c>
      <c r="I371" s="1" t="str">
        <f t="shared" si="5"/>
        <v>March</v>
      </c>
      <c r="J371" t="s">
        <v>10</v>
      </c>
    </row>
    <row r="372" spans="1:10" hidden="1" x14ac:dyDescent="0.35">
      <c r="A372" t="s">
        <v>868</v>
      </c>
      <c r="B372" t="s">
        <v>11</v>
      </c>
      <c r="C372">
        <v>0.33600000000000002</v>
      </c>
      <c r="D372">
        <v>22</v>
      </c>
      <c r="E372" t="s">
        <v>866</v>
      </c>
      <c r="F372">
        <v>49.939211999999998</v>
      </c>
      <c r="G372">
        <v>14.180839000000001</v>
      </c>
      <c r="H372" s="1">
        <v>45375</v>
      </c>
      <c r="I372" s="1" t="str">
        <f t="shared" si="5"/>
        <v>March</v>
      </c>
      <c r="J372" t="s">
        <v>10</v>
      </c>
    </row>
    <row r="373" spans="1:10" hidden="1" x14ac:dyDescent="0.35">
      <c r="A373" t="s">
        <v>868</v>
      </c>
      <c r="B373" t="s">
        <v>9</v>
      </c>
      <c r="C373">
        <v>0.2</v>
      </c>
      <c r="D373">
        <v>14</v>
      </c>
      <c r="E373" t="s">
        <v>866</v>
      </c>
      <c r="F373">
        <v>48.186610999999999</v>
      </c>
      <c r="G373">
        <v>17.090271000000001</v>
      </c>
      <c r="H373" s="1">
        <v>45375</v>
      </c>
      <c r="I373" s="1" t="str">
        <f t="shared" si="5"/>
        <v>March</v>
      </c>
      <c r="J373" t="s">
        <v>10</v>
      </c>
    </row>
    <row r="374" spans="1:10" hidden="1" x14ac:dyDescent="0.35">
      <c r="A374" t="s">
        <v>869</v>
      </c>
      <c r="B374" t="s">
        <v>4</v>
      </c>
      <c r="C374">
        <v>0.9</v>
      </c>
      <c r="D374">
        <v>22</v>
      </c>
      <c r="E374" t="s">
        <v>866</v>
      </c>
      <c r="F374">
        <v>52.214494000000002</v>
      </c>
      <c r="G374">
        <v>21.033154</v>
      </c>
      <c r="H374" s="1">
        <v>45376</v>
      </c>
      <c r="I374" s="1" t="str">
        <f t="shared" si="5"/>
        <v>March</v>
      </c>
      <c r="J374" t="s">
        <v>5</v>
      </c>
    </row>
    <row r="375" spans="1:10" x14ac:dyDescent="0.35">
      <c r="A375" t="s">
        <v>869</v>
      </c>
      <c r="B375" t="s">
        <v>4</v>
      </c>
      <c r="C375">
        <v>1</v>
      </c>
      <c r="D375">
        <v>21</v>
      </c>
      <c r="E375" t="s">
        <v>865</v>
      </c>
      <c r="F375">
        <v>52.214418999999999</v>
      </c>
      <c r="G375">
        <v>21.033441</v>
      </c>
      <c r="H375" s="1">
        <v>45376</v>
      </c>
      <c r="I375" s="1" t="str">
        <f t="shared" si="5"/>
        <v>March</v>
      </c>
      <c r="J375" t="s">
        <v>5</v>
      </c>
    </row>
    <row r="376" spans="1:10" hidden="1" x14ac:dyDescent="0.35">
      <c r="A376" t="s">
        <v>869</v>
      </c>
      <c r="B376" t="s">
        <v>11</v>
      </c>
      <c r="C376">
        <v>0.4</v>
      </c>
      <c r="D376">
        <v>12</v>
      </c>
      <c r="E376" t="s">
        <v>866</v>
      </c>
      <c r="F376">
        <v>49.937893000000003</v>
      </c>
      <c r="G376">
        <v>14.18083</v>
      </c>
      <c r="H376" s="1">
        <v>45376</v>
      </c>
      <c r="I376" s="1" t="str">
        <f t="shared" si="5"/>
        <v>March</v>
      </c>
      <c r="J376" t="s">
        <v>10</v>
      </c>
    </row>
    <row r="377" spans="1:10" x14ac:dyDescent="0.35">
      <c r="A377" t="s">
        <v>868</v>
      </c>
      <c r="B377" t="s">
        <v>11</v>
      </c>
      <c r="C377">
        <v>0.33600000000000002</v>
      </c>
      <c r="D377">
        <v>23</v>
      </c>
      <c r="E377" t="s">
        <v>865</v>
      </c>
      <c r="F377">
        <v>49.939261999999999</v>
      </c>
      <c r="G377">
        <v>14.179613</v>
      </c>
      <c r="H377" s="1">
        <v>45376</v>
      </c>
      <c r="I377" s="1" t="str">
        <f t="shared" si="5"/>
        <v>March</v>
      </c>
      <c r="J377" t="s">
        <v>10</v>
      </c>
    </row>
    <row r="378" spans="1:10" x14ac:dyDescent="0.35">
      <c r="A378" t="s">
        <v>868</v>
      </c>
      <c r="B378" t="s">
        <v>9</v>
      </c>
      <c r="C378">
        <v>0.254</v>
      </c>
      <c r="D378">
        <v>18</v>
      </c>
      <c r="E378" t="s">
        <v>865</v>
      </c>
      <c r="F378">
        <v>48.239854000000001</v>
      </c>
      <c r="G378">
        <v>17.086693</v>
      </c>
      <c r="H378" s="1">
        <v>45376</v>
      </c>
      <c r="I378" s="1" t="str">
        <f t="shared" si="5"/>
        <v>March</v>
      </c>
      <c r="J378" t="s">
        <v>10</v>
      </c>
    </row>
    <row r="379" spans="1:10" x14ac:dyDescent="0.35">
      <c r="A379" t="s">
        <v>868</v>
      </c>
      <c r="B379" t="s">
        <v>9</v>
      </c>
      <c r="C379">
        <v>0.29399999999999998</v>
      </c>
      <c r="D379">
        <v>23</v>
      </c>
      <c r="E379" t="s">
        <v>865</v>
      </c>
      <c r="F379">
        <v>48.226680000000002</v>
      </c>
      <c r="G379">
        <v>17.081529</v>
      </c>
      <c r="H379" s="1">
        <v>45376</v>
      </c>
      <c r="I379" s="1" t="str">
        <f t="shared" si="5"/>
        <v>March</v>
      </c>
      <c r="J379" t="s">
        <v>10</v>
      </c>
    </row>
    <row r="380" spans="1:10" hidden="1" x14ac:dyDescent="0.35">
      <c r="A380" t="s">
        <v>868</v>
      </c>
      <c r="B380" t="s">
        <v>9</v>
      </c>
      <c r="C380">
        <v>0.26500000000000001</v>
      </c>
      <c r="D380">
        <v>22</v>
      </c>
      <c r="E380" t="s">
        <v>866</v>
      </c>
      <c r="F380">
        <v>48.238619999999997</v>
      </c>
      <c r="G380">
        <v>17.074393000000001</v>
      </c>
      <c r="H380" s="1">
        <v>45376</v>
      </c>
      <c r="I380" s="1" t="str">
        <f t="shared" si="5"/>
        <v>March</v>
      </c>
      <c r="J380" t="s">
        <v>10</v>
      </c>
    </row>
    <row r="381" spans="1:10" x14ac:dyDescent="0.35">
      <c r="A381" t="s">
        <v>864</v>
      </c>
      <c r="B381" t="s">
        <v>4</v>
      </c>
      <c r="C381">
        <v>823</v>
      </c>
      <c r="D381">
        <v>305</v>
      </c>
      <c r="E381" t="s">
        <v>865</v>
      </c>
      <c r="F381">
        <v>52.824289999999998</v>
      </c>
      <c r="G381">
        <v>23.813465000000001</v>
      </c>
      <c r="H381" s="1">
        <v>45377</v>
      </c>
      <c r="I381" s="1" t="str">
        <f t="shared" si="5"/>
        <v>March</v>
      </c>
      <c r="J381" t="s">
        <v>5</v>
      </c>
    </row>
    <row r="382" spans="1:10" x14ac:dyDescent="0.35">
      <c r="A382" t="s">
        <v>864</v>
      </c>
      <c r="B382" t="s">
        <v>4</v>
      </c>
      <c r="C382">
        <v>594</v>
      </c>
      <c r="D382">
        <v>243</v>
      </c>
      <c r="E382" t="s">
        <v>865</v>
      </c>
      <c r="F382">
        <v>52.825553999999997</v>
      </c>
      <c r="G382">
        <v>23.812594000000001</v>
      </c>
      <c r="H382" s="1">
        <v>45377</v>
      </c>
      <c r="I382" s="1" t="str">
        <f t="shared" si="5"/>
        <v>March</v>
      </c>
      <c r="J382" t="s">
        <v>5</v>
      </c>
    </row>
    <row r="383" spans="1:10" x14ac:dyDescent="0.35">
      <c r="A383" t="s">
        <v>868</v>
      </c>
      <c r="B383" t="s">
        <v>4</v>
      </c>
      <c r="C383">
        <v>0.31</v>
      </c>
      <c r="D383">
        <v>24</v>
      </c>
      <c r="E383" t="s">
        <v>865</v>
      </c>
      <c r="F383">
        <v>50.041235</v>
      </c>
      <c r="G383">
        <v>19.951284000000001</v>
      </c>
      <c r="H383" s="1">
        <v>45377</v>
      </c>
      <c r="I383" s="1" t="str">
        <f t="shared" si="5"/>
        <v>March</v>
      </c>
      <c r="J383" t="s">
        <v>5</v>
      </c>
    </row>
    <row r="384" spans="1:10" hidden="1" x14ac:dyDescent="0.35">
      <c r="A384" t="s">
        <v>868</v>
      </c>
      <c r="B384" t="s">
        <v>6</v>
      </c>
      <c r="C384">
        <v>0.251</v>
      </c>
      <c r="D384">
        <v>20</v>
      </c>
      <c r="E384" t="s">
        <v>866</v>
      </c>
      <c r="F384">
        <v>47.508617999999998</v>
      </c>
      <c r="G384">
        <v>18.944915000000002</v>
      </c>
      <c r="H384" s="1">
        <v>45377</v>
      </c>
      <c r="I384" s="1" t="str">
        <f t="shared" ref="I384:I447" si="6">IF(H384="","",TEXT(H384,"MMMM"))</f>
        <v>March</v>
      </c>
      <c r="J384" t="s">
        <v>5</v>
      </c>
    </row>
    <row r="385" spans="1:10" x14ac:dyDescent="0.35">
      <c r="A385" t="s">
        <v>869</v>
      </c>
      <c r="B385" t="s">
        <v>11</v>
      </c>
      <c r="C385">
        <v>0.7</v>
      </c>
      <c r="D385">
        <v>16</v>
      </c>
      <c r="E385" t="s">
        <v>865</v>
      </c>
      <c r="F385">
        <v>49.939149999999998</v>
      </c>
      <c r="G385">
        <v>14.179387999999999</v>
      </c>
      <c r="H385" s="1">
        <v>45377</v>
      </c>
      <c r="I385" s="1" t="str">
        <f t="shared" si="6"/>
        <v>March</v>
      </c>
      <c r="J385" t="s">
        <v>10</v>
      </c>
    </row>
    <row r="386" spans="1:10" hidden="1" x14ac:dyDescent="0.35">
      <c r="A386" t="s">
        <v>869</v>
      </c>
      <c r="B386" t="s">
        <v>11</v>
      </c>
      <c r="C386">
        <v>0.6</v>
      </c>
      <c r="D386">
        <v>17</v>
      </c>
      <c r="E386" t="s">
        <v>866</v>
      </c>
      <c r="F386">
        <v>49.938346000000003</v>
      </c>
      <c r="G386">
        <v>14.18024</v>
      </c>
      <c r="H386" s="1">
        <v>45377</v>
      </c>
      <c r="I386" s="1" t="str">
        <f t="shared" si="6"/>
        <v>March</v>
      </c>
      <c r="J386" t="s">
        <v>10</v>
      </c>
    </row>
    <row r="387" spans="1:10" hidden="1" x14ac:dyDescent="0.35">
      <c r="A387" t="s">
        <v>869</v>
      </c>
      <c r="B387" t="s">
        <v>4</v>
      </c>
      <c r="C387">
        <v>1.1000000000000001</v>
      </c>
      <c r="D387">
        <v>20</v>
      </c>
      <c r="E387" t="s">
        <v>866</v>
      </c>
      <c r="F387">
        <v>52.214765999999997</v>
      </c>
      <c r="G387">
        <v>21.030532000000001</v>
      </c>
      <c r="H387" s="1">
        <v>45378</v>
      </c>
      <c r="I387" s="1" t="str">
        <f t="shared" si="6"/>
        <v>March</v>
      </c>
      <c r="J387" t="s">
        <v>5</v>
      </c>
    </row>
    <row r="388" spans="1:10" x14ac:dyDescent="0.35">
      <c r="A388" t="s">
        <v>868</v>
      </c>
      <c r="B388" t="s">
        <v>4</v>
      </c>
      <c r="C388">
        <v>0.33600000000000002</v>
      </c>
      <c r="D388">
        <v>19</v>
      </c>
      <c r="E388" t="s">
        <v>865</v>
      </c>
      <c r="F388">
        <v>50.041488999999999</v>
      </c>
      <c r="G388">
        <v>19.950768</v>
      </c>
      <c r="H388" s="1">
        <v>45378</v>
      </c>
      <c r="I388" s="1" t="str">
        <f t="shared" si="6"/>
        <v>March</v>
      </c>
      <c r="J388" t="s">
        <v>5</v>
      </c>
    </row>
    <row r="389" spans="1:10" hidden="1" x14ac:dyDescent="0.35">
      <c r="A389" t="s">
        <v>869</v>
      </c>
      <c r="B389" t="s">
        <v>7</v>
      </c>
      <c r="C389">
        <v>0.7</v>
      </c>
      <c r="D389">
        <v>23</v>
      </c>
      <c r="E389" t="s">
        <v>866</v>
      </c>
      <c r="F389">
        <v>52.587532000000003</v>
      </c>
      <c r="G389">
        <v>13.152361000000001</v>
      </c>
      <c r="H389" s="1">
        <v>45378</v>
      </c>
      <c r="I389" s="1" t="str">
        <f t="shared" si="6"/>
        <v>March</v>
      </c>
      <c r="J389" t="s">
        <v>8</v>
      </c>
    </row>
    <row r="390" spans="1:10" x14ac:dyDescent="0.35">
      <c r="A390" t="s">
        <v>869</v>
      </c>
      <c r="B390" t="s">
        <v>7</v>
      </c>
      <c r="C390">
        <v>0.7</v>
      </c>
      <c r="D390">
        <v>17</v>
      </c>
      <c r="E390" t="s">
        <v>865</v>
      </c>
      <c r="F390">
        <v>48.161583999999998</v>
      </c>
      <c r="G390">
        <v>11.494937999999999</v>
      </c>
      <c r="H390" s="1">
        <v>45378</v>
      </c>
      <c r="I390" s="1" t="str">
        <f t="shared" si="6"/>
        <v>March</v>
      </c>
      <c r="J390" t="s">
        <v>8</v>
      </c>
    </row>
    <row r="391" spans="1:10" hidden="1" x14ac:dyDescent="0.35">
      <c r="A391" t="s">
        <v>869</v>
      </c>
      <c r="B391" t="s">
        <v>7</v>
      </c>
      <c r="C391">
        <v>0.9</v>
      </c>
      <c r="D391">
        <v>18</v>
      </c>
      <c r="E391" t="s">
        <v>866</v>
      </c>
      <c r="F391">
        <v>48.160459000000003</v>
      </c>
      <c r="G391">
        <v>11.493142000000001</v>
      </c>
      <c r="H391" s="1">
        <v>45378</v>
      </c>
      <c r="I391" s="1" t="str">
        <f t="shared" si="6"/>
        <v>March</v>
      </c>
      <c r="J391" t="s">
        <v>8</v>
      </c>
    </row>
    <row r="392" spans="1:10" x14ac:dyDescent="0.35">
      <c r="A392" t="s">
        <v>869</v>
      </c>
      <c r="B392" t="s">
        <v>7</v>
      </c>
      <c r="C392">
        <v>0.5</v>
      </c>
      <c r="D392">
        <v>20</v>
      </c>
      <c r="E392" t="s">
        <v>865</v>
      </c>
      <c r="F392">
        <v>48.160834000000001</v>
      </c>
      <c r="G392">
        <v>11.489874</v>
      </c>
      <c r="H392" s="1">
        <v>45378</v>
      </c>
      <c r="I392" s="1" t="str">
        <f t="shared" si="6"/>
        <v>March</v>
      </c>
      <c r="J392" t="s">
        <v>8</v>
      </c>
    </row>
    <row r="393" spans="1:10" x14ac:dyDescent="0.35">
      <c r="A393" t="s">
        <v>869</v>
      </c>
      <c r="B393" t="s">
        <v>11</v>
      </c>
      <c r="C393">
        <v>0.5</v>
      </c>
      <c r="D393">
        <v>16</v>
      </c>
      <c r="E393" t="s">
        <v>865</v>
      </c>
      <c r="F393">
        <v>49.938845000000001</v>
      </c>
      <c r="G393">
        <v>14.182245999999999</v>
      </c>
      <c r="H393" s="1">
        <v>45378</v>
      </c>
      <c r="I393" s="1" t="str">
        <f t="shared" si="6"/>
        <v>March</v>
      </c>
      <c r="J393" t="s">
        <v>10</v>
      </c>
    </row>
    <row r="394" spans="1:10" hidden="1" x14ac:dyDescent="0.35">
      <c r="A394" t="s">
        <v>869</v>
      </c>
      <c r="B394" t="s">
        <v>11</v>
      </c>
      <c r="C394">
        <v>0.8</v>
      </c>
      <c r="D394">
        <v>17</v>
      </c>
      <c r="E394" t="s">
        <v>866</v>
      </c>
      <c r="F394">
        <v>49.938958999999997</v>
      </c>
      <c r="G394">
        <v>14.180078</v>
      </c>
      <c r="H394" s="1">
        <v>45378</v>
      </c>
      <c r="I394" s="1" t="str">
        <f t="shared" si="6"/>
        <v>March</v>
      </c>
      <c r="J394" t="s">
        <v>10</v>
      </c>
    </row>
    <row r="395" spans="1:10" x14ac:dyDescent="0.35">
      <c r="A395" t="s">
        <v>868</v>
      </c>
      <c r="B395" t="s">
        <v>11</v>
      </c>
      <c r="C395">
        <v>0.27700000000000002</v>
      </c>
      <c r="D395">
        <v>22</v>
      </c>
      <c r="E395" t="s">
        <v>865</v>
      </c>
      <c r="F395">
        <v>49.939096999999997</v>
      </c>
      <c r="G395">
        <v>14.179435</v>
      </c>
      <c r="H395" s="1">
        <v>45378</v>
      </c>
      <c r="I395" s="1" t="str">
        <f t="shared" si="6"/>
        <v>March</v>
      </c>
      <c r="J395" t="s">
        <v>10</v>
      </c>
    </row>
    <row r="396" spans="1:10" hidden="1" x14ac:dyDescent="0.35">
      <c r="A396" t="s">
        <v>868</v>
      </c>
      <c r="B396" t="s">
        <v>9</v>
      </c>
      <c r="C396">
        <v>0.32100000000000001</v>
      </c>
      <c r="D396">
        <v>18</v>
      </c>
      <c r="E396" t="s">
        <v>866</v>
      </c>
      <c r="F396">
        <v>48.226708000000002</v>
      </c>
      <c r="G396">
        <v>17.087852999999999</v>
      </c>
      <c r="H396" s="1">
        <v>45378</v>
      </c>
      <c r="I396" s="1" t="str">
        <f t="shared" si="6"/>
        <v>March</v>
      </c>
      <c r="J396" t="s">
        <v>10</v>
      </c>
    </row>
    <row r="397" spans="1:10" hidden="1" x14ac:dyDescent="0.35">
      <c r="A397" t="s">
        <v>868</v>
      </c>
      <c r="B397" t="s">
        <v>11</v>
      </c>
      <c r="C397">
        <v>0.27100000000000002</v>
      </c>
      <c r="D397">
        <v>19</v>
      </c>
      <c r="E397" t="s">
        <v>866</v>
      </c>
      <c r="F397">
        <v>49.938523000000004</v>
      </c>
      <c r="G397">
        <v>14.18244</v>
      </c>
      <c r="H397" s="1">
        <v>45378</v>
      </c>
      <c r="I397" s="1" t="str">
        <f t="shared" si="6"/>
        <v>March</v>
      </c>
      <c r="J397" t="s">
        <v>10</v>
      </c>
    </row>
    <row r="398" spans="1:10" hidden="1" x14ac:dyDescent="0.35">
      <c r="A398" t="s">
        <v>864</v>
      </c>
      <c r="B398" t="s">
        <v>4</v>
      </c>
      <c r="C398">
        <v>510</v>
      </c>
      <c r="D398">
        <v>222</v>
      </c>
      <c r="E398" t="s">
        <v>866</v>
      </c>
      <c r="F398">
        <v>52.807537000000004</v>
      </c>
      <c r="G398">
        <v>23.700908999999999</v>
      </c>
      <c r="H398" s="1">
        <v>45379</v>
      </c>
      <c r="I398" s="1" t="str">
        <f t="shared" si="6"/>
        <v>March</v>
      </c>
      <c r="J398" t="s">
        <v>5</v>
      </c>
    </row>
    <row r="399" spans="1:10" hidden="1" x14ac:dyDescent="0.35">
      <c r="A399" t="s">
        <v>868</v>
      </c>
      <c r="B399" t="s">
        <v>4</v>
      </c>
      <c r="C399">
        <v>0.32800000000000001</v>
      </c>
      <c r="D399">
        <v>23</v>
      </c>
      <c r="E399" t="s">
        <v>866</v>
      </c>
      <c r="F399">
        <v>50.041504000000003</v>
      </c>
      <c r="G399">
        <v>19.950218</v>
      </c>
      <c r="H399" s="1">
        <v>45379</v>
      </c>
      <c r="I399" s="1" t="str">
        <f t="shared" si="6"/>
        <v>March</v>
      </c>
      <c r="J399" t="s">
        <v>5</v>
      </c>
    </row>
    <row r="400" spans="1:10" hidden="1" x14ac:dyDescent="0.35">
      <c r="A400" t="s">
        <v>868</v>
      </c>
      <c r="B400" t="s">
        <v>4</v>
      </c>
      <c r="C400">
        <v>0.27800000000000002</v>
      </c>
      <c r="D400">
        <v>23</v>
      </c>
      <c r="E400" t="s">
        <v>866</v>
      </c>
      <c r="F400">
        <v>50.041119000000002</v>
      </c>
      <c r="G400">
        <v>19.949729999999999</v>
      </c>
      <c r="H400" s="1">
        <v>45379</v>
      </c>
      <c r="I400" s="1" t="str">
        <f t="shared" si="6"/>
        <v>March</v>
      </c>
      <c r="J400" t="s">
        <v>5</v>
      </c>
    </row>
    <row r="401" spans="1:10" hidden="1" x14ac:dyDescent="0.35">
      <c r="A401" t="s">
        <v>869</v>
      </c>
      <c r="B401" t="s">
        <v>11</v>
      </c>
      <c r="C401">
        <v>0.6</v>
      </c>
      <c r="D401">
        <v>18</v>
      </c>
      <c r="E401" t="s">
        <v>866</v>
      </c>
      <c r="F401">
        <v>49.937804999999997</v>
      </c>
      <c r="G401">
        <v>14.179716000000001</v>
      </c>
      <c r="H401" s="1">
        <v>45379</v>
      </c>
      <c r="I401" s="1" t="str">
        <f t="shared" si="6"/>
        <v>March</v>
      </c>
      <c r="J401" t="s">
        <v>10</v>
      </c>
    </row>
    <row r="402" spans="1:10" hidden="1" x14ac:dyDescent="0.35">
      <c r="A402" t="s">
        <v>869</v>
      </c>
      <c r="B402" t="s">
        <v>11</v>
      </c>
      <c r="C402">
        <v>0.7</v>
      </c>
      <c r="D402">
        <v>15</v>
      </c>
      <c r="E402" t="s">
        <v>866</v>
      </c>
      <c r="F402">
        <v>49.939329999999998</v>
      </c>
      <c r="G402">
        <v>14.177877000000001</v>
      </c>
      <c r="H402" s="1">
        <v>45379</v>
      </c>
      <c r="I402" s="1" t="str">
        <f t="shared" si="6"/>
        <v>March</v>
      </c>
      <c r="J402" t="s">
        <v>10</v>
      </c>
    </row>
    <row r="403" spans="1:10" hidden="1" x14ac:dyDescent="0.35">
      <c r="A403" t="s">
        <v>868</v>
      </c>
      <c r="B403" t="s">
        <v>6</v>
      </c>
      <c r="C403">
        <v>0.27300000000000002</v>
      </c>
      <c r="D403">
        <v>23</v>
      </c>
      <c r="E403" t="s">
        <v>866</v>
      </c>
      <c r="F403">
        <v>47.507156999999999</v>
      </c>
      <c r="G403">
        <v>18.940379</v>
      </c>
      <c r="H403" s="1">
        <v>45380</v>
      </c>
      <c r="I403" s="1" t="str">
        <f t="shared" si="6"/>
        <v>March</v>
      </c>
      <c r="J403" t="s">
        <v>5</v>
      </c>
    </row>
    <row r="404" spans="1:10" hidden="1" x14ac:dyDescent="0.35">
      <c r="A404" t="s">
        <v>868</v>
      </c>
      <c r="B404" t="s">
        <v>12</v>
      </c>
      <c r="C404">
        <v>0.33600000000000002</v>
      </c>
      <c r="D404">
        <v>20</v>
      </c>
      <c r="E404" t="s">
        <v>866</v>
      </c>
      <c r="F404">
        <v>47.780752</v>
      </c>
      <c r="G404">
        <v>14.383452</v>
      </c>
      <c r="H404" s="1">
        <v>45380</v>
      </c>
      <c r="I404" s="1" t="str">
        <f t="shared" si="6"/>
        <v>March</v>
      </c>
      <c r="J404" t="s">
        <v>8</v>
      </c>
    </row>
    <row r="405" spans="1:10" x14ac:dyDescent="0.35">
      <c r="A405" t="s">
        <v>868</v>
      </c>
      <c r="B405" t="s">
        <v>12</v>
      </c>
      <c r="C405">
        <v>0.28999999999999998</v>
      </c>
      <c r="D405">
        <v>19</v>
      </c>
      <c r="E405" t="s">
        <v>865</v>
      </c>
      <c r="F405">
        <v>47.781078000000001</v>
      </c>
      <c r="G405">
        <v>14.384558999999999</v>
      </c>
      <c r="H405" s="1">
        <v>45380</v>
      </c>
      <c r="I405" s="1" t="str">
        <f t="shared" si="6"/>
        <v>March</v>
      </c>
      <c r="J405" t="s">
        <v>8</v>
      </c>
    </row>
    <row r="406" spans="1:10" x14ac:dyDescent="0.35">
      <c r="A406" t="s">
        <v>868</v>
      </c>
      <c r="B406" t="s">
        <v>12</v>
      </c>
      <c r="C406">
        <v>0.33700000000000002</v>
      </c>
      <c r="D406">
        <v>22</v>
      </c>
      <c r="E406" t="s">
        <v>865</v>
      </c>
      <c r="F406">
        <v>47.781087999999997</v>
      </c>
      <c r="G406">
        <v>14.385534</v>
      </c>
      <c r="H406" s="1">
        <v>45380</v>
      </c>
      <c r="I406" s="1" t="str">
        <f t="shared" si="6"/>
        <v>March</v>
      </c>
      <c r="J406" t="s">
        <v>8</v>
      </c>
    </row>
    <row r="407" spans="1:10" x14ac:dyDescent="0.35">
      <c r="A407" t="s">
        <v>869</v>
      </c>
      <c r="B407" t="s">
        <v>9</v>
      </c>
      <c r="C407">
        <v>0.7</v>
      </c>
      <c r="D407">
        <v>16</v>
      </c>
      <c r="E407" t="s">
        <v>865</v>
      </c>
      <c r="F407">
        <v>48.409137999999999</v>
      </c>
      <c r="G407">
        <v>18.863576999999999</v>
      </c>
      <c r="H407" s="1">
        <v>45380</v>
      </c>
      <c r="I407" s="1" t="str">
        <f t="shared" si="6"/>
        <v>March</v>
      </c>
      <c r="J407" t="s">
        <v>10</v>
      </c>
    </row>
    <row r="408" spans="1:10" hidden="1" x14ac:dyDescent="0.35">
      <c r="A408" t="s">
        <v>867</v>
      </c>
      <c r="B408" t="s">
        <v>9</v>
      </c>
      <c r="C408">
        <v>16</v>
      </c>
      <c r="D408">
        <v>62</v>
      </c>
      <c r="E408" t="s">
        <v>866</v>
      </c>
      <c r="F408">
        <v>48.409447999999998</v>
      </c>
      <c r="G408">
        <v>18.845590999999999</v>
      </c>
      <c r="H408" s="1">
        <v>45380</v>
      </c>
      <c r="I408" s="1" t="str">
        <f t="shared" si="6"/>
        <v>March</v>
      </c>
      <c r="J408" t="s">
        <v>10</v>
      </c>
    </row>
    <row r="409" spans="1:10" x14ac:dyDescent="0.35">
      <c r="A409" t="s">
        <v>868</v>
      </c>
      <c r="B409" t="s">
        <v>4</v>
      </c>
      <c r="C409">
        <v>0.28899999999999998</v>
      </c>
      <c r="D409">
        <v>24</v>
      </c>
      <c r="E409" t="s">
        <v>865</v>
      </c>
      <c r="F409">
        <v>50.041381999999999</v>
      </c>
      <c r="G409">
        <v>19.949403</v>
      </c>
      <c r="H409" s="1">
        <v>45381</v>
      </c>
      <c r="I409" s="1" t="str">
        <f t="shared" si="6"/>
        <v>March</v>
      </c>
      <c r="J409" t="s">
        <v>5</v>
      </c>
    </row>
    <row r="410" spans="1:10" x14ac:dyDescent="0.35">
      <c r="A410" t="s">
        <v>869</v>
      </c>
      <c r="B410" t="s">
        <v>7</v>
      </c>
      <c r="C410">
        <v>1.1000000000000001</v>
      </c>
      <c r="D410">
        <v>25</v>
      </c>
      <c r="E410" t="s">
        <v>865</v>
      </c>
      <c r="F410">
        <v>48.160772999999999</v>
      </c>
      <c r="G410">
        <v>11.493679999999999</v>
      </c>
      <c r="H410" s="1">
        <v>45381</v>
      </c>
      <c r="I410" s="1" t="str">
        <f t="shared" si="6"/>
        <v>March</v>
      </c>
      <c r="J410" t="s">
        <v>8</v>
      </c>
    </row>
    <row r="411" spans="1:10" hidden="1" x14ac:dyDescent="0.35">
      <c r="A411" t="s">
        <v>869</v>
      </c>
      <c r="B411" t="s">
        <v>7</v>
      </c>
      <c r="C411">
        <v>0.6</v>
      </c>
      <c r="D411">
        <v>15</v>
      </c>
      <c r="E411" t="s">
        <v>866</v>
      </c>
      <c r="F411">
        <v>48.160812999999997</v>
      </c>
      <c r="G411">
        <v>11.492539000000001</v>
      </c>
      <c r="H411" s="1">
        <v>45381</v>
      </c>
      <c r="I411" s="1" t="str">
        <f t="shared" si="6"/>
        <v>March</v>
      </c>
      <c r="J411" t="s">
        <v>8</v>
      </c>
    </row>
    <row r="412" spans="1:10" hidden="1" x14ac:dyDescent="0.35">
      <c r="A412" t="s">
        <v>869</v>
      </c>
      <c r="B412" t="s">
        <v>7</v>
      </c>
      <c r="C412">
        <v>0.5</v>
      </c>
      <c r="D412">
        <v>20</v>
      </c>
      <c r="E412" t="s">
        <v>866</v>
      </c>
      <c r="F412">
        <v>48.161605000000002</v>
      </c>
      <c r="G412">
        <v>11.491149999999999</v>
      </c>
      <c r="H412" s="1">
        <v>45381</v>
      </c>
      <c r="I412" s="1" t="str">
        <f t="shared" si="6"/>
        <v>March</v>
      </c>
      <c r="J412" t="s">
        <v>8</v>
      </c>
    </row>
    <row r="413" spans="1:10" x14ac:dyDescent="0.35">
      <c r="A413" t="s">
        <v>869</v>
      </c>
      <c r="B413" t="s">
        <v>7</v>
      </c>
      <c r="C413">
        <v>0.7</v>
      </c>
      <c r="D413">
        <v>20</v>
      </c>
      <c r="E413" t="s">
        <v>865</v>
      </c>
      <c r="F413">
        <v>48.162593000000001</v>
      </c>
      <c r="G413">
        <v>11.491872000000001</v>
      </c>
      <c r="H413" s="1">
        <v>45381</v>
      </c>
      <c r="I413" s="1" t="str">
        <f t="shared" si="6"/>
        <v>March</v>
      </c>
      <c r="J413" t="s">
        <v>8</v>
      </c>
    </row>
    <row r="414" spans="1:10" hidden="1" x14ac:dyDescent="0.35">
      <c r="A414" t="s">
        <v>869</v>
      </c>
      <c r="B414" t="s">
        <v>7</v>
      </c>
      <c r="C414">
        <v>0.6</v>
      </c>
      <c r="D414">
        <v>15</v>
      </c>
      <c r="E414" t="s">
        <v>866</v>
      </c>
      <c r="F414">
        <v>48.16142</v>
      </c>
      <c r="G414">
        <v>11.495056</v>
      </c>
      <c r="H414" s="1">
        <v>45381</v>
      </c>
      <c r="I414" s="1" t="str">
        <f t="shared" si="6"/>
        <v>March</v>
      </c>
      <c r="J414" t="s">
        <v>8</v>
      </c>
    </row>
    <row r="415" spans="1:10" hidden="1" x14ac:dyDescent="0.35">
      <c r="A415" t="s">
        <v>869</v>
      </c>
      <c r="B415" t="s">
        <v>7</v>
      </c>
      <c r="C415">
        <v>0.5</v>
      </c>
      <c r="D415">
        <v>16</v>
      </c>
      <c r="E415" t="s">
        <v>866</v>
      </c>
      <c r="F415">
        <v>48.162548999999999</v>
      </c>
      <c r="G415">
        <v>11.492991</v>
      </c>
      <c r="H415" s="1">
        <v>45381</v>
      </c>
      <c r="I415" s="1" t="str">
        <f t="shared" si="6"/>
        <v>March</v>
      </c>
      <c r="J415" t="s">
        <v>8</v>
      </c>
    </row>
    <row r="416" spans="1:10" x14ac:dyDescent="0.35">
      <c r="A416" t="s">
        <v>869</v>
      </c>
      <c r="B416" t="s">
        <v>7</v>
      </c>
      <c r="C416">
        <v>0.9</v>
      </c>
      <c r="D416">
        <v>19</v>
      </c>
      <c r="E416" t="s">
        <v>865</v>
      </c>
      <c r="F416">
        <v>48.161645999999998</v>
      </c>
      <c r="G416">
        <v>11.493511</v>
      </c>
      <c r="H416" s="1">
        <v>45381</v>
      </c>
      <c r="I416" s="1" t="str">
        <f t="shared" si="6"/>
        <v>March</v>
      </c>
      <c r="J416" t="s">
        <v>8</v>
      </c>
    </row>
    <row r="417" spans="1:10" x14ac:dyDescent="0.35">
      <c r="A417" t="s">
        <v>867</v>
      </c>
      <c r="B417" t="s">
        <v>9</v>
      </c>
      <c r="C417">
        <v>21</v>
      </c>
      <c r="D417">
        <v>85</v>
      </c>
      <c r="E417" t="s">
        <v>865</v>
      </c>
      <c r="F417">
        <v>48.405213000000003</v>
      </c>
      <c r="G417">
        <v>18.84085</v>
      </c>
      <c r="H417" s="1">
        <v>45381</v>
      </c>
      <c r="I417" s="1" t="str">
        <f t="shared" si="6"/>
        <v>March</v>
      </c>
      <c r="J417" t="s">
        <v>10</v>
      </c>
    </row>
    <row r="418" spans="1:10" x14ac:dyDescent="0.35">
      <c r="A418" t="s">
        <v>868</v>
      </c>
      <c r="B418" t="s">
        <v>11</v>
      </c>
      <c r="C418">
        <v>0.28799999999999998</v>
      </c>
      <c r="D418">
        <v>18</v>
      </c>
      <c r="E418" t="s">
        <v>865</v>
      </c>
      <c r="F418">
        <v>49.939</v>
      </c>
      <c r="G418">
        <v>14.182238999999999</v>
      </c>
      <c r="H418" s="1">
        <v>45381</v>
      </c>
      <c r="I418" s="1" t="str">
        <f t="shared" si="6"/>
        <v>March</v>
      </c>
      <c r="J418" t="s">
        <v>10</v>
      </c>
    </row>
    <row r="419" spans="1:10" x14ac:dyDescent="0.35">
      <c r="A419" t="s">
        <v>868</v>
      </c>
      <c r="B419" t="s">
        <v>9</v>
      </c>
      <c r="C419">
        <v>0.28699999999999998</v>
      </c>
      <c r="D419">
        <v>21</v>
      </c>
      <c r="E419" t="s">
        <v>865</v>
      </c>
      <c r="F419">
        <v>48.224896999999999</v>
      </c>
      <c r="G419">
        <v>17.085978999999998</v>
      </c>
      <c r="H419" s="1">
        <v>45381</v>
      </c>
      <c r="I419" s="1" t="str">
        <f t="shared" si="6"/>
        <v>March</v>
      </c>
      <c r="J419" t="s">
        <v>10</v>
      </c>
    </row>
    <row r="420" spans="1:10" x14ac:dyDescent="0.35">
      <c r="A420" t="s">
        <v>868</v>
      </c>
      <c r="B420" t="s">
        <v>9</v>
      </c>
      <c r="C420">
        <v>0.28599999999999998</v>
      </c>
      <c r="D420">
        <v>18</v>
      </c>
      <c r="E420" t="s">
        <v>865</v>
      </c>
      <c r="F420">
        <v>48.228960999999998</v>
      </c>
      <c r="G420">
        <v>17.076478000000002</v>
      </c>
      <c r="H420" s="1">
        <v>45381</v>
      </c>
      <c r="I420" s="1" t="str">
        <f t="shared" si="6"/>
        <v>March</v>
      </c>
      <c r="J420" t="s">
        <v>10</v>
      </c>
    </row>
    <row r="421" spans="1:10" x14ac:dyDescent="0.35">
      <c r="A421" t="s">
        <v>864</v>
      </c>
      <c r="B421" t="s">
        <v>4</v>
      </c>
      <c r="C421">
        <v>970</v>
      </c>
      <c r="D421">
        <v>307</v>
      </c>
      <c r="E421" t="s">
        <v>865</v>
      </c>
      <c r="F421">
        <v>52.805402000000001</v>
      </c>
      <c r="G421">
        <v>23.691244000000001</v>
      </c>
      <c r="H421" s="1">
        <v>45382</v>
      </c>
      <c r="I421" s="1" t="str">
        <f t="shared" si="6"/>
        <v>March</v>
      </c>
      <c r="J421" t="s">
        <v>5</v>
      </c>
    </row>
    <row r="422" spans="1:10" hidden="1" x14ac:dyDescent="0.35">
      <c r="A422" t="s">
        <v>868</v>
      </c>
      <c r="B422" t="s">
        <v>4</v>
      </c>
      <c r="C422">
        <v>0.32300000000000001</v>
      </c>
      <c r="D422">
        <v>20</v>
      </c>
      <c r="E422" t="s">
        <v>866</v>
      </c>
      <c r="F422">
        <v>50.041365999999996</v>
      </c>
      <c r="G422">
        <v>19.949444</v>
      </c>
      <c r="H422" s="1">
        <v>45382</v>
      </c>
      <c r="I422" s="1" t="str">
        <f t="shared" si="6"/>
        <v>March</v>
      </c>
      <c r="J422" t="s">
        <v>5</v>
      </c>
    </row>
    <row r="423" spans="1:10" hidden="1" x14ac:dyDescent="0.35">
      <c r="A423" t="s">
        <v>868</v>
      </c>
      <c r="B423" t="s">
        <v>6</v>
      </c>
      <c r="C423">
        <v>0.25</v>
      </c>
      <c r="D423">
        <v>19</v>
      </c>
      <c r="E423" t="s">
        <v>866</v>
      </c>
      <c r="F423">
        <v>47.509537999999999</v>
      </c>
      <c r="G423">
        <v>18.945968000000001</v>
      </c>
      <c r="H423" s="1">
        <v>45382</v>
      </c>
      <c r="I423" s="1" t="str">
        <f t="shared" si="6"/>
        <v>March</v>
      </c>
      <c r="J423" t="s">
        <v>5</v>
      </c>
    </row>
    <row r="424" spans="1:10" hidden="1" x14ac:dyDescent="0.35">
      <c r="A424" t="s">
        <v>869</v>
      </c>
      <c r="B424" t="s">
        <v>9</v>
      </c>
      <c r="C424">
        <v>0.9</v>
      </c>
      <c r="D424">
        <v>19</v>
      </c>
      <c r="E424" t="s">
        <v>866</v>
      </c>
      <c r="F424">
        <v>48.407463999999997</v>
      </c>
      <c r="G424">
        <v>18.87406</v>
      </c>
      <c r="H424" s="1">
        <v>45382</v>
      </c>
      <c r="I424" s="1" t="str">
        <f t="shared" si="6"/>
        <v>March</v>
      </c>
      <c r="J424" t="s">
        <v>10</v>
      </c>
    </row>
    <row r="425" spans="1:10" hidden="1" x14ac:dyDescent="0.35">
      <c r="A425" t="s">
        <v>867</v>
      </c>
      <c r="B425" t="s">
        <v>9</v>
      </c>
      <c r="C425">
        <v>20</v>
      </c>
      <c r="D425">
        <v>78</v>
      </c>
      <c r="E425" t="s">
        <v>866</v>
      </c>
      <c r="F425">
        <v>48.409790000000001</v>
      </c>
      <c r="G425">
        <v>18.870341</v>
      </c>
      <c r="H425" s="1">
        <v>45382</v>
      </c>
      <c r="I425" s="1" t="str">
        <f t="shared" si="6"/>
        <v>March</v>
      </c>
      <c r="J425" t="s">
        <v>10</v>
      </c>
    </row>
    <row r="426" spans="1:10" hidden="1" x14ac:dyDescent="0.35">
      <c r="A426" t="s">
        <v>864</v>
      </c>
      <c r="B426" t="s">
        <v>4</v>
      </c>
      <c r="C426">
        <v>459</v>
      </c>
      <c r="D426">
        <v>212</v>
      </c>
      <c r="E426" t="s">
        <v>866</v>
      </c>
      <c r="F426">
        <v>52.807403000000001</v>
      </c>
      <c r="G426">
        <v>23.683043999999999</v>
      </c>
      <c r="H426" s="1">
        <v>45383</v>
      </c>
      <c r="I426" s="1" t="str">
        <f t="shared" si="6"/>
        <v>April</v>
      </c>
      <c r="J426" t="s">
        <v>5</v>
      </c>
    </row>
    <row r="427" spans="1:10" hidden="1" x14ac:dyDescent="0.35">
      <c r="A427" t="s">
        <v>864</v>
      </c>
      <c r="B427" t="s">
        <v>4</v>
      </c>
      <c r="C427">
        <v>705</v>
      </c>
      <c r="D427">
        <v>280</v>
      </c>
      <c r="E427" t="s">
        <v>866</v>
      </c>
      <c r="F427">
        <v>52.803733000000001</v>
      </c>
      <c r="G427">
        <v>23.686928000000002</v>
      </c>
      <c r="H427" s="1">
        <v>45383</v>
      </c>
      <c r="I427" s="1" t="str">
        <f t="shared" si="6"/>
        <v>April</v>
      </c>
      <c r="J427" t="s">
        <v>5</v>
      </c>
    </row>
    <row r="428" spans="1:10" hidden="1" x14ac:dyDescent="0.35">
      <c r="A428" t="s">
        <v>868</v>
      </c>
      <c r="B428" t="s">
        <v>4</v>
      </c>
      <c r="C428">
        <v>0.32300000000000001</v>
      </c>
      <c r="D428">
        <v>19</v>
      </c>
      <c r="E428" t="s">
        <v>866</v>
      </c>
      <c r="F428">
        <v>50.041803999999999</v>
      </c>
      <c r="G428">
        <v>19.951360999999999</v>
      </c>
      <c r="H428" s="1">
        <v>45383</v>
      </c>
      <c r="I428" s="1" t="str">
        <f t="shared" si="6"/>
        <v>April</v>
      </c>
      <c r="J428" t="s">
        <v>5</v>
      </c>
    </row>
    <row r="429" spans="1:10" hidden="1" x14ac:dyDescent="0.35">
      <c r="A429" t="s">
        <v>868</v>
      </c>
      <c r="B429" t="s">
        <v>6</v>
      </c>
      <c r="C429">
        <v>0.33700000000000002</v>
      </c>
      <c r="D429">
        <v>18</v>
      </c>
      <c r="E429" t="s">
        <v>866</v>
      </c>
      <c r="F429">
        <v>47.511558000000001</v>
      </c>
      <c r="G429">
        <v>18.942454000000001</v>
      </c>
      <c r="H429" s="1">
        <v>45383</v>
      </c>
      <c r="I429" s="1" t="str">
        <f t="shared" si="6"/>
        <v>April</v>
      </c>
      <c r="J429" t="s">
        <v>5</v>
      </c>
    </row>
    <row r="430" spans="1:10" x14ac:dyDescent="0.35">
      <c r="A430" t="s">
        <v>869</v>
      </c>
      <c r="B430" t="s">
        <v>9</v>
      </c>
      <c r="C430">
        <v>1.1000000000000001</v>
      </c>
      <c r="D430">
        <v>22</v>
      </c>
      <c r="E430" t="s">
        <v>865</v>
      </c>
      <c r="F430">
        <v>48.409754</v>
      </c>
      <c r="G430">
        <v>18.870477000000001</v>
      </c>
      <c r="H430" s="1">
        <v>45383</v>
      </c>
      <c r="I430" s="1" t="str">
        <f t="shared" si="6"/>
        <v>April</v>
      </c>
      <c r="J430" t="s">
        <v>10</v>
      </c>
    </row>
    <row r="431" spans="1:10" hidden="1" x14ac:dyDescent="0.35">
      <c r="A431" t="s">
        <v>867</v>
      </c>
      <c r="B431" t="s">
        <v>11</v>
      </c>
      <c r="C431">
        <v>26</v>
      </c>
      <c r="D431">
        <v>81</v>
      </c>
      <c r="E431" t="s">
        <v>866</v>
      </c>
      <c r="F431">
        <v>50.884011999999998</v>
      </c>
      <c r="G431">
        <v>14.370554</v>
      </c>
      <c r="H431" s="1">
        <v>45383</v>
      </c>
      <c r="I431" s="1" t="str">
        <f t="shared" si="6"/>
        <v>April</v>
      </c>
      <c r="J431" t="s">
        <v>10</v>
      </c>
    </row>
    <row r="432" spans="1:10" hidden="1" x14ac:dyDescent="0.35">
      <c r="A432" t="s">
        <v>868</v>
      </c>
      <c r="B432" t="s">
        <v>11</v>
      </c>
      <c r="C432">
        <v>0.28299999999999997</v>
      </c>
      <c r="D432">
        <v>22</v>
      </c>
      <c r="E432" t="s">
        <v>866</v>
      </c>
      <c r="F432">
        <v>49.939191000000001</v>
      </c>
      <c r="G432">
        <v>14.180256</v>
      </c>
      <c r="H432" s="1">
        <v>45383</v>
      </c>
      <c r="I432" s="1" t="str">
        <f t="shared" si="6"/>
        <v>April</v>
      </c>
      <c r="J432" t="s">
        <v>10</v>
      </c>
    </row>
    <row r="433" spans="1:10" hidden="1" x14ac:dyDescent="0.35">
      <c r="A433" t="s">
        <v>868</v>
      </c>
      <c r="B433" t="s">
        <v>9</v>
      </c>
      <c r="C433">
        <v>0.26</v>
      </c>
      <c r="D433">
        <v>22</v>
      </c>
      <c r="E433" t="s">
        <v>866</v>
      </c>
      <c r="F433">
        <v>48.231229999999996</v>
      </c>
      <c r="G433">
        <v>17.090253000000001</v>
      </c>
      <c r="H433" s="1">
        <v>45383</v>
      </c>
      <c r="I433" s="1" t="str">
        <f t="shared" si="6"/>
        <v>April</v>
      </c>
      <c r="J433" t="s">
        <v>10</v>
      </c>
    </row>
    <row r="434" spans="1:10" hidden="1" x14ac:dyDescent="0.35">
      <c r="A434" t="s">
        <v>869</v>
      </c>
      <c r="B434" t="s">
        <v>6</v>
      </c>
      <c r="C434">
        <v>0.6</v>
      </c>
      <c r="D434">
        <v>20</v>
      </c>
      <c r="E434" t="s">
        <v>866</v>
      </c>
      <c r="F434">
        <v>48.504424999999998</v>
      </c>
      <c r="G434">
        <v>20.548743999999999</v>
      </c>
      <c r="H434" s="1">
        <v>45384</v>
      </c>
      <c r="I434" s="1" t="str">
        <f t="shared" si="6"/>
        <v>April</v>
      </c>
      <c r="J434" t="s">
        <v>5</v>
      </c>
    </row>
    <row r="435" spans="1:10" x14ac:dyDescent="0.35">
      <c r="A435" t="s">
        <v>867</v>
      </c>
      <c r="B435" t="s">
        <v>4</v>
      </c>
      <c r="C435">
        <v>22</v>
      </c>
      <c r="D435">
        <v>101</v>
      </c>
      <c r="E435" t="s">
        <v>865</v>
      </c>
      <c r="F435">
        <v>52.824598999999999</v>
      </c>
      <c r="G435">
        <v>23.816842000000001</v>
      </c>
      <c r="H435" s="1">
        <v>45384</v>
      </c>
      <c r="I435" s="1" t="str">
        <f t="shared" si="6"/>
        <v>April</v>
      </c>
      <c r="J435" t="s">
        <v>5</v>
      </c>
    </row>
    <row r="436" spans="1:10" x14ac:dyDescent="0.35">
      <c r="A436" t="s">
        <v>868</v>
      </c>
      <c r="B436" t="s">
        <v>4</v>
      </c>
      <c r="C436">
        <v>0.29399999999999998</v>
      </c>
      <c r="D436">
        <v>19</v>
      </c>
      <c r="E436" t="s">
        <v>865</v>
      </c>
      <c r="F436">
        <v>50.041131</v>
      </c>
      <c r="G436">
        <v>19.949542999999998</v>
      </c>
      <c r="H436" s="1">
        <v>45384</v>
      </c>
      <c r="I436" s="1" t="str">
        <f t="shared" si="6"/>
        <v>April</v>
      </c>
      <c r="J436" t="s">
        <v>5</v>
      </c>
    </row>
    <row r="437" spans="1:10" x14ac:dyDescent="0.35">
      <c r="A437" t="s">
        <v>868</v>
      </c>
      <c r="B437" t="s">
        <v>4</v>
      </c>
      <c r="C437">
        <v>0.32800000000000001</v>
      </c>
      <c r="D437">
        <v>20</v>
      </c>
      <c r="E437" t="s">
        <v>865</v>
      </c>
      <c r="F437">
        <v>50.041552000000003</v>
      </c>
      <c r="G437">
        <v>19.949984000000001</v>
      </c>
      <c r="H437" s="1">
        <v>45384</v>
      </c>
      <c r="I437" s="1" t="str">
        <f t="shared" si="6"/>
        <v>April</v>
      </c>
      <c r="J437" t="s">
        <v>5</v>
      </c>
    </row>
    <row r="438" spans="1:10" hidden="1" x14ac:dyDescent="0.35">
      <c r="A438" t="s">
        <v>868</v>
      </c>
      <c r="B438" t="s">
        <v>4</v>
      </c>
      <c r="C438">
        <v>0.312</v>
      </c>
      <c r="D438">
        <v>23</v>
      </c>
      <c r="E438" t="s">
        <v>866</v>
      </c>
      <c r="F438">
        <v>50.041944999999998</v>
      </c>
      <c r="G438">
        <v>19.94932</v>
      </c>
      <c r="H438" s="1">
        <v>45384</v>
      </c>
      <c r="I438" s="1" t="str">
        <f t="shared" si="6"/>
        <v>April</v>
      </c>
      <c r="J438" t="s">
        <v>5</v>
      </c>
    </row>
    <row r="439" spans="1:10" x14ac:dyDescent="0.35">
      <c r="A439" t="s">
        <v>868</v>
      </c>
      <c r="B439" t="s">
        <v>4</v>
      </c>
      <c r="C439">
        <v>0.28999999999999998</v>
      </c>
      <c r="D439">
        <v>24</v>
      </c>
      <c r="E439" t="s">
        <v>865</v>
      </c>
      <c r="F439">
        <v>50.041924999999999</v>
      </c>
      <c r="G439">
        <v>19.950894000000002</v>
      </c>
      <c r="H439" s="1">
        <v>45384</v>
      </c>
      <c r="I439" s="1" t="str">
        <f t="shared" si="6"/>
        <v>April</v>
      </c>
      <c r="J439" t="s">
        <v>5</v>
      </c>
    </row>
    <row r="440" spans="1:10" hidden="1" x14ac:dyDescent="0.35">
      <c r="A440" t="s">
        <v>868</v>
      </c>
      <c r="B440" t="s">
        <v>6</v>
      </c>
      <c r="C440">
        <v>0.25800000000000001</v>
      </c>
      <c r="D440">
        <v>21</v>
      </c>
      <c r="E440" t="s">
        <v>866</v>
      </c>
      <c r="F440">
        <v>47.511581999999997</v>
      </c>
      <c r="G440">
        <v>18.942340999999999</v>
      </c>
      <c r="H440" s="1">
        <v>45384</v>
      </c>
      <c r="I440" s="1" t="str">
        <f t="shared" si="6"/>
        <v>April</v>
      </c>
      <c r="J440" t="s">
        <v>5</v>
      </c>
    </row>
    <row r="441" spans="1:10" hidden="1" x14ac:dyDescent="0.35">
      <c r="A441" t="s">
        <v>869</v>
      </c>
      <c r="B441" t="s">
        <v>12</v>
      </c>
      <c r="C441">
        <v>0.8</v>
      </c>
      <c r="D441">
        <v>15</v>
      </c>
      <c r="E441" t="s">
        <v>866</v>
      </c>
      <c r="F441">
        <v>47.319091</v>
      </c>
      <c r="G441">
        <v>11.188058</v>
      </c>
      <c r="H441" s="1">
        <v>45384</v>
      </c>
      <c r="I441" s="1" t="str">
        <f t="shared" si="6"/>
        <v>April</v>
      </c>
      <c r="J441" t="s">
        <v>8</v>
      </c>
    </row>
    <row r="442" spans="1:10" x14ac:dyDescent="0.35">
      <c r="A442" t="s">
        <v>869</v>
      </c>
      <c r="B442" t="s">
        <v>7</v>
      </c>
      <c r="C442">
        <v>0.8</v>
      </c>
      <c r="D442">
        <v>18</v>
      </c>
      <c r="E442" t="s">
        <v>865</v>
      </c>
      <c r="F442">
        <v>48.161892000000002</v>
      </c>
      <c r="G442">
        <v>11.493888</v>
      </c>
      <c r="H442" s="1">
        <v>45384</v>
      </c>
      <c r="I442" s="1" t="str">
        <f t="shared" si="6"/>
        <v>April</v>
      </c>
      <c r="J442" t="s">
        <v>8</v>
      </c>
    </row>
    <row r="443" spans="1:10" hidden="1" x14ac:dyDescent="0.35">
      <c r="A443" t="s">
        <v>869</v>
      </c>
      <c r="B443" t="s">
        <v>7</v>
      </c>
      <c r="C443">
        <v>0.6</v>
      </c>
      <c r="D443">
        <v>15</v>
      </c>
      <c r="E443" t="s">
        <v>866</v>
      </c>
      <c r="F443">
        <v>48.161217999999998</v>
      </c>
      <c r="G443">
        <v>11.494676999999999</v>
      </c>
      <c r="H443" s="1">
        <v>45384</v>
      </c>
      <c r="I443" s="1" t="str">
        <f t="shared" si="6"/>
        <v>April</v>
      </c>
      <c r="J443" t="s">
        <v>8</v>
      </c>
    </row>
    <row r="444" spans="1:10" x14ac:dyDescent="0.35">
      <c r="A444" t="s">
        <v>869</v>
      </c>
      <c r="B444" t="s">
        <v>7</v>
      </c>
      <c r="C444">
        <v>0.8</v>
      </c>
      <c r="D444">
        <v>23</v>
      </c>
      <c r="E444" t="s">
        <v>865</v>
      </c>
      <c r="F444">
        <v>48.161451999999997</v>
      </c>
      <c r="G444">
        <v>11.495239</v>
      </c>
      <c r="H444" s="1">
        <v>45384</v>
      </c>
      <c r="I444" s="1" t="str">
        <f t="shared" si="6"/>
        <v>April</v>
      </c>
      <c r="J444" t="s">
        <v>8</v>
      </c>
    </row>
    <row r="445" spans="1:10" hidden="1" x14ac:dyDescent="0.35">
      <c r="A445" t="s">
        <v>869</v>
      </c>
      <c r="B445" t="s">
        <v>7</v>
      </c>
      <c r="C445">
        <v>0.6</v>
      </c>
      <c r="D445">
        <v>16</v>
      </c>
      <c r="E445" t="s">
        <v>866</v>
      </c>
      <c r="F445">
        <v>48.160915000000003</v>
      </c>
      <c r="G445">
        <v>11.489927</v>
      </c>
      <c r="H445" s="1">
        <v>45384</v>
      </c>
      <c r="I445" s="1" t="str">
        <f t="shared" si="6"/>
        <v>April</v>
      </c>
      <c r="J445" t="s">
        <v>8</v>
      </c>
    </row>
    <row r="446" spans="1:10" x14ac:dyDescent="0.35">
      <c r="A446" t="s">
        <v>869</v>
      </c>
      <c r="B446" t="s">
        <v>7</v>
      </c>
      <c r="C446">
        <v>0.7</v>
      </c>
      <c r="D446">
        <v>19</v>
      </c>
      <c r="E446" t="s">
        <v>865</v>
      </c>
      <c r="F446">
        <v>48.162168999999999</v>
      </c>
      <c r="G446">
        <v>11.495473</v>
      </c>
      <c r="H446" s="1">
        <v>45384</v>
      </c>
      <c r="I446" s="1" t="str">
        <f t="shared" si="6"/>
        <v>April</v>
      </c>
      <c r="J446" t="s">
        <v>8</v>
      </c>
    </row>
    <row r="447" spans="1:10" hidden="1" x14ac:dyDescent="0.35">
      <c r="A447" t="s">
        <v>869</v>
      </c>
      <c r="B447" t="s">
        <v>7</v>
      </c>
      <c r="C447">
        <v>1</v>
      </c>
      <c r="D447">
        <v>25</v>
      </c>
      <c r="E447" t="s">
        <v>866</v>
      </c>
      <c r="F447">
        <v>49.546289999999999</v>
      </c>
      <c r="G447">
        <v>11.085729000000001</v>
      </c>
      <c r="H447" s="1">
        <v>45384</v>
      </c>
      <c r="I447" s="1" t="str">
        <f t="shared" si="6"/>
        <v>April</v>
      </c>
      <c r="J447" t="s">
        <v>8</v>
      </c>
    </row>
    <row r="448" spans="1:10" x14ac:dyDescent="0.35">
      <c r="A448" t="s">
        <v>869</v>
      </c>
      <c r="B448" t="s">
        <v>7</v>
      </c>
      <c r="C448">
        <v>1.1000000000000001</v>
      </c>
      <c r="D448">
        <v>23</v>
      </c>
      <c r="E448" t="s">
        <v>865</v>
      </c>
      <c r="F448">
        <v>49.559558000000003</v>
      </c>
      <c r="G448">
        <v>11.081149999999999</v>
      </c>
      <c r="H448" s="1">
        <v>45384</v>
      </c>
      <c r="I448" s="1" t="str">
        <f t="shared" ref="I448:I510" si="7">IF(H448="","",TEXT(H448,"MMMM"))</f>
        <v>April</v>
      </c>
      <c r="J448" t="s">
        <v>8</v>
      </c>
    </row>
    <row r="449" spans="1:10" hidden="1" x14ac:dyDescent="0.35">
      <c r="A449" t="s">
        <v>868</v>
      </c>
      <c r="B449" t="s">
        <v>12</v>
      </c>
      <c r="C449">
        <v>0.27300000000000002</v>
      </c>
      <c r="D449">
        <v>19</v>
      </c>
      <c r="E449" t="s">
        <v>866</v>
      </c>
      <c r="F449">
        <v>47.781613</v>
      </c>
      <c r="G449">
        <v>14.385153000000001</v>
      </c>
      <c r="H449" s="1">
        <v>45384</v>
      </c>
      <c r="I449" s="1" t="str">
        <f t="shared" si="7"/>
        <v>April</v>
      </c>
      <c r="J449" t="s">
        <v>8</v>
      </c>
    </row>
    <row r="450" spans="1:10" hidden="1" x14ac:dyDescent="0.35">
      <c r="A450" t="s">
        <v>868</v>
      </c>
      <c r="B450" t="s">
        <v>12</v>
      </c>
      <c r="C450">
        <v>0.33</v>
      </c>
      <c r="D450">
        <v>18</v>
      </c>
      <c r="E450" t="s">
        <v>866</v>
      </c>
      <c r="F450">
        <v>47.781637000000003</v>
      </c>
      <c r="G450">
        <v>14.385382999999999</v>
      </c>
      <c r="H450" s="1">
        <v>45384</v>
      </c>
      <c r="I450" s="1" t="str">
        <f t="shared" si="7"/>
        <v>April</v>
      </c>
      <c r="J450" t="s">
        <v>8</v>
      </c>
    </row>
    <row r="451" spans="1:10" hidden="1" x14ac:dyDescent="0.35">
      <c r="A451" t="s">
        <v>868</v>
      </c>
      <c r="B451" t="s">
        <v>12</v>
      </c>
      <c r="C451">
        <v>0.26200000000000001</v>
      </c>
      <c r="D451">
        <v>18</v>
      </c>
      <c r="E451" t="s">
        <v>866</v>
      </c>
      <c r="F451">
        <v>47.781838</v>
      </c>
      <c r="G451">
        <v>14.382937999999999</v>
      </c>
      <c r="H451" s="1">
        <v>45384</v>
      </c>
      <c r="I451" s="1" t="str">
        <f t="shared" si="7"/>
        <v>April</v>
      </c>
      <c r="J451" t="s">
        <v>8</v>
      </c>
    </row>
    <row r="452" spans="1:10" hidden="1" x14ac:dyDescent="0.35">
      <c r="A452" t="s">
        <v>868</v>
      </c>
      <c r="B452" t="s">
        <v>12</v>
      </c>
      <c r="C452">
        <v>0.31</v>
      </c>
      <c r="D452">
        <v>19</v>
      </c>
      <c r="E452" t="s">
        <v>866</v>
      </c>
      <c r="F452">
        <v>47.780925000000003</v>
      </c>
      <c r="G452">
        <v>14.383694999999999</v>
      </c>
      <c r="H452" s="1">
        <v>45384</v>
      </c>
      <c r="I452" s="1" t="str">
        <f t="shared" si="7"/>
        <v>April</v>
      </c>
      <c r="J452" t="s">
        <v>8</v>
      </c>
    </row>
    <row r="453" spans="1:10" hidden="1" x14ac:dyDescent="0.35">
      <c r="A453" t="s">
        <v>868</v>
      </c>
      <c r="B453" t="s">
        <v>12</v>
      </c>
      <c r="C453">
        <v>0.33400000000000002</v>
      </c>
      <c r="D453">
        <v>21</v>
      </c>
      <c r="E453" t="s">
        <v>866</v>
      </c>
      <c r="F453">
        <v>47.781449000000002</v>
      </c>
      <c r="G453">
        <v>14.383421</v>
      </c>
      <c r="H453" s="1">
        <v>45384</v>
      </c>
      <c r="I453" s="1" t="str">
        <f t="shared" si="7"/>
        <v>April</v>
      </c>
      <c r="J453" t="s">
        <v>8</v>
      </c>
    </row>
    <row r="454" spans="1:10" hidden="1" x14ac:dyDescent="0.35">
      <c r="A454" t="s">
        <v>868</v>
      </c>
      <c r="B454" t="s">
        <v>12</v>
      </c>
      <c r="C454">
        <v>0.27</v>
      </c>
      <c r="D454">
        <v>20</v>
      </c>
      <c r="E454" t="s">
        <v>866</v>
      </c>
      <c r="F454">
        <v>47.781799999999997</v>
      </c>
      <c r="G454">
        <v>14.383699</v>
      </c>
      <c r="H454" s="1">
        <v>45384</v>
      </c>
      <c r="I454" s="1" t="str">
        <f t="shared" si="7"/>
        <v>April</v>
      </c>
      <c r="J454" t="s">
        <v>8</v>
      </c>
    </row>
    <row r="455" spans="1:10" x14ac:dyDescent="0.35">
      <c r="A455" t="s">
        <v>868</v>
      </c>
      <c r="B455" t="s">
        <v>12</v>
      </c>
      <c r="C455">
        <v>0.27700000000000002</v>
      </c>
      <c r="D455">
        <v>18</v>
      </c>
      <c r="E455" t="s">
        <v>865</v>
      </c>
      <c r="F455">
        <v>47.781072999999999</v>
      </c>
      <c r="G455">
        <v>14.383506000000001</v>
      </c>
      <c r="H455" s="1">
        <v>45384</v>
      </c>
      <c r="I455" s="1" t="str">
        <f t="shared" si="7"/>
        <v>April</v>
      </c>
      <c r="J455" t="s">
        <v>8</v>
      </c>
    </row>
    <row r="456" spans="1:10" x14ac:dyDescent="0.35">
      <c r="A456" t="s">
        <v>868</v>
      </c>
      <c r="B456" t="s">
        <v>7</v>
      </c>
      <c r="C456">
        <v>0.25800000000000001</v>
      </c>
      <c r="D456">
        <v>19</v>
      </c>
      <c r="E456" t="s">
        <v>865</v>
      </c>
      <c r="F456">
        <v>48.162250999999998</v>
      </c>
      <c r="G456">
        <v>11.494811</v>
      </c>
      <c r="H456" s="1">
        <v>45384</v>
      </c>
      <c r="I456" s="1" t="str">
        <f t="shared" si="7"/>
        <v>April</v>
      </c>
      <c r="J456" t="s">
        <v>8</v>
      </c>
    </row>
    <row r="457" spans="1:10" hidden="1" x14ac:dyDescent="0.35">
      <c r="A457" t="s">
        <v>868</v>
      </c>
      <c r="B457" t="s">
        <v>7</v>
      </c>
      <c r="C457">
        <v>0.25600000000000001</v>
      </c>
      <c r="D457">
        <v>16</v>
      </c>
      <c r="E457" t="s">
        <v>866</v>
      </c>
      <c r="F457">
        <v>48.160432</v>
      </c>
      <c r="G457">
        <v>11.494472</v>
      </c>
      <c r="H457" s="1">
        <v>45384</v>
      </c>
      <c r="I457" s="1" t="str">
        <f t="shared" si="7"/>
        <v>April</v>
      </c>
      <c r="J457" t="s">
        <v>8</v>
      </c>
    </row>
    <row r="458" spans="1:10" hidden="1" x14ac:dyDescent="0.35">
      <c r="A458" t="s">
        <v>868</v>
      </c>
      <c r="B458" t="s">
        <v>7</v>
      </c>
      <c r="C458">
        <v>0.317</v>
      </c>
      <c r="D458">
        <v>21</v>
      </c>
      <c r="E458" t="s">
        <v>866</v>
      </c>
      <c r="F458">
        <v>48.162562999999999</v>
      </c>
      <c r="G458">
        <v>11.495277</v>
      </c>
      <c r="H458" s="1">
        <v>45384</v>
      </c>
      <c r="I458" s="1" t="str">
        <f t="shared" si="7"/>
        <v>April</v>
      </c>
      <c r="J458" t="s">
        <v>8</v>
      </c>
    </row>
    <row r="459" spans="1:10" hidden="1" x14ac:dyDescent="0.35">
      <c r="A459" t="s">
        <v>868</v>
      </c>
      <c r="B459" t="s">
        <v>7</v>
      </c>
      <c r="C459">
        <v>0.26600000000000001</v>
      </c>
      <c r="D459">
        <v>18</v>
      </c>
      <c r="E459" t="s">
        <v>866</v>
      </c>
      <c r="F459">
        <v>48.161906000000002</v>
      </c>
      <c r="G459">
        <v>11.490434</v>
      </c>
      <c r="H459" s="1">
        <v>45384</v>
      </c>
      <c r="I459" s="1" t="str">
        <f t="shared" si="7"/>
        <v>April</v>
      </c>
      <c r="J459" t="s">
        <v>8</v>
      </c>
    </row>
    <row r="460" spans="1:10" x14ac:dyDescent="0.35">
      <c r="A460" t="s">
        <v>868</v>
      </c>
      <c r="B460" t="s">
        <v>7</v>
      </c>
      <c r="C460">
        <v>0.28299999999999997</v>
      </c>
      <c r="D460">
        <v>21</v>
      </c>
      <c r="E460" t="s">
        <v>865</v>
      </c>
      <c r="F460">
        <v>49.562323999999997</v>
      </c>
      <c r="G460">
        <v>11.092212</v>
      </c>
      <c r="H460" s="1">
        <v>45384</v>
      </c>
      <c r="I460" s="1" t="str">
        <f t="shared" si="7"/>
        <v>April</v>
      </c>
      <c r="J460" t="s">
        <v>8</v>
      </c>
    </row>
    <row r="461" spans="1:10" hidden="1" x14ac:dyDescent="0.35">
      <c r="A461" t="s">
        <v>868</v>
      </c>
      <c r="B461" t="s">
        <v>7</v>
      </c>
      <c r="C461">
        <v>0.30499999999999999</v>
      </c>
      <c r="D461">
        <v>18</v>
      </c>
      <c r="E461" t="s">
        <v>866</v>
      </c>
      <c r="F461">
        <v>49.561973000000002</v>
      </c>
      <c r="G461">
        <v>11.086554</v>
      </c>
      <c r="H461" s="1">
        <v>45384</v>
      </c>
      <c r="I461" s="1" t="str">
        <f t="shared" si="7"/>
        <v>April</v>
      </c>
      <c r="J461" t="s">
        <v>8</v>
      </c>
    </row>
    <row r="462" spans="1:10" x14ac:dyDescent="0.35">
      <c r="A462" t="s">
        <v>868</v>
      </c>
      <c r="B462" t="s">
        <v>12</v>
      </c>
      <c r="C462">
        <v>0.28199999999999997</v>
      </c>
      <c r="D462">
        <v>18</v>
      </c>
      <c r="E462" t="s">
        <v>865</v>
      </c>
      <c r="F462">
        <v>47.781754999999997</v>
      </c>
      <c r="G462">
        <v>14.385083</v>
      </c>
      <c r="H462" s="1">
        <v>45384</v>
      </c>
      <c r="I462" s="1" t="str">
        <f t="shared" si="7"/>
        <v>April</v>
      </c>
      <c r="J462" t="s">
        <v>8</v>
      </c>
    </row>
    <row r="463" spans="1:10" x14ac:dyDescent="0.35">
      <c r="A463" t="s">
        <v>868</v>
      </c>
      <c r="B463" t="s">
        <v>7</v>
      </c>
      <c r="C463">
        <v>0.318</v>
      </c>
      <c r="D463">
        <v>18</v>
      </c>
      <c r="E463" t="s">
        <v>865</v>
      </c>
      <c r="F463">
        <v>49.557527</v>
      </c>
      <c r="G463">
        <v>11.089447</v>
      </c>
      <c r="H463" s="1">
        <v>45384</v>
      </c>
      <c r="I463" s="1" t="str">
        <f t="shared" si="7"/>
        <v>April</v>
      </c>
      <c r="J463" t="s">
        <v>8</v>
      </c>
    </row>
    <row r="464" spans="1:10" hidden="1" x14ac:dyDescent="0.35">
      <c r="A464" t="s">
        <v>867</v>
      </c>
      <c r="B464" t="s">
        <v>9</v>
      </c>
      <c r="C464">
        <v>27</v>
      </c>
      <c r="D464">
        <v>94</v>
      </c>
      <c r="E464" t="s">
        <v>866</v>
      </c>
      <c r="F464">
        <v>48.411163000000002</v>
      </c>
      <c r="G464">
        <v>18.864362</v>
      </c>
      <c r="H464" s="1">
        <v>45384</v>
      </c>
      <c r="I464" s="1" t="str">
        <f t="shared" si="7"/>
        <v>April</v>
      </c>
      <c r="J464" t="s">
        <v>10</v>
      </c>
    </row>
    <row r="465" spans="1:10" x14ac:dyDescent="0.35">
      <c r="A465" t="s">
        <v>868</v>
      </c>
      <c r="B465" t="s">
        <v>9</v>
      </c>
      <c r="C465">
        <v>0.33900000000000002</v>
      </c>
      <c r="D465">
        <v>20</v>
      </c>
      <c r="E465" t="s">
        <v>865</v>
      </c>
      <c r="F465">
        <v>48.410770999999997</v>
      </c>
      <c r="G465">
        <v>18.865888000000002</v>
      </c>
      <c r="H465" s="1">
        <v>45384</v>
      </c>
      <c r="I465" s="1" t="str">
        <f t="shared" si="7"/>
        <v>April</v>
      </c>
      <c r="J465" t="s">
        <v>10</v>
      </c>
    </row>
    <row r="466" spans="1:10" x14ac:dyDescent="0.35">
      <c r="A466" t="s">
        <v>868</v>
      </c>
      <c r="B466" t="s">
        <v>9</v>
      </c>
      <c r="C466">
        <v>0.30199999999999999</v>
      </c>
      <c r="D466">
        <v>19</v>
      </c>
      <c r="E466" t="s">
        <v>865</v>
      </c>
      <c r="F466">
        <v>48.410201000000001</v>
      </c>
      <c r="G466">
        <v>18.862513</v>
      </c>
      <c r="H466" s="1">
        <v>45384</v>
      </c>
      <c r="I466" s="1" t="str">
        <f t="shared" si="7"/>
        <v>April</v>
      </c>
      <c r="J466" t="s">
        <v>10</v>
      </c>
    </row>
    <row r="467" spans="1:10" x14ac:dyDescent="0.35">
      <c r="A467" t="s">
        <v>868</v>
      </c>
      <c r="B467" t="s">
        <v>9</v>
      </c>
      <c r="C467">
        <v>0.27600000000000002</v>
      </c>
      <c r="D467">
        <v>19</v>
      </c>
      <c r="E467" t="s">
        <v>865</v>
      </c>
      <c r="F467">
        <v>48.408110999999998</v>
      </c>
      <c r="G467">
        <v>18.865646000000002</v>
      </c>
      <c r="H467" s="1">
        <v>45384</v>
      </c>
      <c r="I467" s="1" t="str">
        <f t="shared" si="7"/>
        <v>April</v>
      </c>
      <c r="J467" t="s">
        <v>10</v>
      </c>
    </row>
    <row r="468" spans="1:10" hidden="1" x14ac:dyDescent="0.35">
      <c r="A468" t="s">
        <v>868</v>
      </c>
      <c r="B468" t="s">
        <v>9</v>
      </c>
      <c r="C468">
        <v>0.252</v>
      </c>
      <c r="D468">
        <v>19</v>
      </c>
      <c r="E468" t="s">
        <v>866</v>
      </c>
      <c r="F468">
        <v>48.410932000000003</v>
      </c>
      <c r="G468">
        <v>18.861704</v>
      </c>
      <c r="H468" s="1">
        <v>45384</v>
      </c>
      <c r="I468" s="1" t="str">
        <f t="shared" si="7"/>
        <v>April</v>
      </c>
      <c r="J468" t="s">
        <v>10</v>
      </c>
    </row>
    <row r="469" spans="1:10" x14ac:dyDescent="0.35">
      <c r="A469" t="s">
        <v>868</v>
      </c>
      <c r="B469" t="s">
        <v>9</v>
      </c>
      <c r="C469">
        <v>0.29299999999999998</v>
      </c>
      <c r="D469">
        <v>19</v>
      </c>
      <c r="E469" t="s">
        <v>865</v>
      </c>
      <c r="F469">
        <v>48.227614000000003</v>
      </c>
      <c r="G469">
        <v>17.072903</v>
      </c>
      <c r="H469" s="1">
        <v>45384</v>
      </c>
      <c r="I469" s="1" t="str">
        <f t="shared" si="7"/>
        <v>April</v>
      </c>
      <c r="J469" t="s">
        <v>10</v>
      </c>
    </row>
    <row r="470" spans="1:10" x14ac:dyDescent="0.35">
      <c r="A470" t="s">
        <v>868</v>
      </c>
      <c r="B470" t="s">
        <v>6</v>
      </c>
      <c r="C470">
        <v>0.28599999999999998</v>
      </c>
      <c r="D470">
        <v>18</v>
      </c>
      <c r="E470" t="s">
        <v>865</v>
      </c>
      <c r="F470">
        <v>47.50826</v>
      </c>
      <c r="G470">
        <v>18.948349</v>
      </c>
      <c r="H470" s="1">
        <v>45385</v>
      </c>
      <c r="I470" s="1" t="str">
        <f t="shared" si="7"/>
        <v>April</v>
      </c>
      <c r="J470" t="s">
        <v>5</v>
      </c>
    </row>
    <row r="471" spans="1:10" x14ac:dyDescent="0.35">
      <c r="A471" t="s">
        <v>869</v>
      </c>
      <c r="B471" t="s">
        <v>7</v>
      </c>
      <c r="C471">
        <v>1.2</v>
      </c>
      <c r="D471">
        <v>22</v>
      </c>
      <c r="E471" t="s">
        <v>865</v>
      </c>
      <c r="F471">
        <v>49.551211000000002</v>
      </c>
      <c r="G471">
        <v>11.077661000000001</v>
      </c>
      <c r="H471" s="1">
        <v>45385</v>
      </c>
      <c r="I471" s="1" t="str">
        <f t="shared" si="7"/>
        <v>April</v>
      </c>
      <c r="J471" t="s">
        <v>8</v>
      </c>
    </row>
    <row r="472" spans="1:10" hidden="1" x14ac:dyDescent="0.35">
      <c r="A472" t="s">
        <v>869</v>
      </c>
      <c r="B472" t="s">
        <v>7</v>
      </c>
      <c r="C472">
        <v>0.9</v>
      </c>
      <c r="D472">
        <v>23</v>
      </c>
      <c r="E472" t="s">
        <v>866</v>
      </c>
      <c r="F472">
        <v>49.562582999999997</v>
      </c>
      <c r="G472">
        <v>11.082312</v>
      </c>
      <c r="H472" s="1">
        <v>45385</v>
      </c>
      <c r="I472" s="1" t="str">
        <f t="shared" si="7"/>
        <v>April</v>
      </c>
      <c r="J472" t="s">
        <v>8</v>
      </c>
    </row>
    <row r="473" spans="1:10" hidden="1" x14ac:dyDescent="0.35">
      <c r="A473" t="s">
        <v>869</v>
      </c>
      <c r="B473" t="s">
        <v>7</v>
      </c>
      <c r="C473">
        <v>0.7</v>
      </c>
      <c r="D473">
        <v>23</v>
      </c>
      <c r="E473" t="s">
        <v>866</v>
      </c>
      <c r="F473">
        <v>49.547597000000003</v>
      </c>
      <c r="G473">
        <v>11.079679</v>
      </c>
      <c r="H473" s="1">
        <v>45385</v>
      </c>
      <c r="I473" s="1" t="str">
        <f t="shared" si="7"/>
        <v>April</v>
      </c>
      <c r="J473" t="s">
        <v>8</v>
      </c>
    </row>
    <row r="474" spans="1:10" x14ac:dyDescent="0.35">
      <c r="A474" t="s">
        <v>869</v>
      </c>
      <c r="B474" t="s">
        <v>9</v>
      </c>
      <c r="C474">
        <v>1.2</v>
      </c>
      <c r="D474">
        <v>26</v>
      </c>
      <c r="E474" t="s">
        <v>865</v>
      </c>
      <c r="F474">
        <v>48.409120000000001</v>
      </c>
      <c r="G474">
        <v>18.869274000000001</v>
      </c>
      <c r="H474" s="1">
        <v>45385</v>
      </c>
      <c r="I474" s="1" t="str">
        <f t="shared" si="7"/>
        <v>April</v>
      </c>
      <c r="J474" t="s">
        <v>10</v>
      </c>
    </row>
    <row r="475" spans="1:10" hidden="1" x14ac:dyDescent="0.35">
      <c r="A475" t="s">
        <v>868</v>
      </c>
      <c r="B475" t="s">
        <v>11</v>
      </c>
      <c r="C475">
        <v>0.25800000000000001</v>
      </c>
      <c r="D475">
        <v>21</v>
      </c>
      <c r="E475" t="s">
        <v>866</v>
      </c>
      <c r="F475">
        <v>49.938786999999998</v>
      </c>
      <c r="G475">
        <v>14.178284</v>
      </c>
      <c r="H475" s="1">
        <v>45385</v>
      </c>
      <c r="I475" s="1" t="str">
        <f t="shared" si="7"/>
        <v>April</v>
      </c>
      <c r="J475" t="s">
        <v>10</v>
      </c>
    </row>
    <row r="476" spans="1:10" x14ac:dyDescent="0.35">
      <c r="A476" t="s">
        <v>864</v>
      </c>
      <c r="B476" t="s">
        <v>4</v>
      </c>
      <c r="C476">
        <v>1000</v>
      </c>
      <c r="D476">
        <v>295</v>
      </c>
      <c r="E476" t="s">
        <v>865</v>
      </c>
      <c r="F476">
        <v>52.809542999999998</v>
      </c>
      <c r="G476">
        <v>23.708563999999999</v>
      </c>
      <c r="H476" s="1">
        <v>45386</v>
      </c>
      <c r="I476" s="1" t="str">
        <f t="shared" si="7"/>
        <v>April</v>
      </c>
      <c r="J476" t="s">
        <v>5</v>
      </c>
    </row>
    <row r="477" spans="1:10" hidden="1" x14ac:dyDescent="0.35">
      <c r="A477" t="s">
        <v>869</v>
      </c>
      <c r="B477" t="s">
        <v>6</v>
      </c>
      <c r="C477">
        <v>0.7</v>
      </c>
      <c r="D477">
        <v>23</v>
      </c>
      <c r="E477" t="s">
        <v>866</v>
      </c>
      <c r="F477">
        <v>47.508516</v>
      </c>
      <c r="G477">
        <v>18.949428999999999</v>
      </c>
      <c r="H477" s="1">
        <v>45386</v>
      </c>
      <c r="I477" s="1" t="str">
        <f t="shared" si="7"/>
        <v>April</v>
      </c>
      <c r="J477" t="s">
        <v>5</v>
      </c>
    </row>
    <row r="478" spans="1:10" x14ac:dyDescent="0.35">
      <c r="A478" t="s">
        <v>869</v>
      </c>
      <c r="B478" t="s">
        <v>6</v>
      </c>
      <c r="C478">
        <v>1.2</v>
      </c>
      <c r="D478">
        <v>24</v>
      </c>
      <c r="E478" t="s">
        <v>865</v>
      </c>
      <c r="F478">
        <v>47.508941</v>
      </c>
      <c r="G478">
        <v>18.948915</v>
      </c>
      <c r="H478" s="1">
        <v>45386</v>
      </c>
      <c r="I478" s="1" t="str">
        <f t="shared" si="7"/>
        <v>April</v>
      </c>
      <c r="J478" t="s">
        <v>5</v>
      </c>
    </row>
    <row r="479" spans="1:10" hidden="1" x14ac:dyDescent="0.35">
      <c r="A479" t="s">
        <v>868</v>
      </c>
      <c r="B479" t="s">
        <v>4</v>
      </c>
      <c r="C479">
        <v>0.33700000000000002</v>
      </c>
      <c r="D479">
        <v>22</v>
      </c>
      <c r="E479" t="s">
        <v>866</v>
      </c>
      <c r="F479">
        <v>50.041818999999997</v>
      </c>
      <c r="G479">
        <v>19.951542</v>
      </c>
      <c r="H479" s="1">
        <v>45386</v>
      </c>
      <c r="I479" s="1" t="str">
        <f t="shared" si="7"/>
        <v>April</v>
      </c>
      <c r="J479" t="s">
        <v>5</v>
      </c>
    </row>
    <row r="480" spans="1:10" hidden="1" x14ac:dyDescent="0.35">
      <c r="A480" t="s">
        <v>868</v>
      </c>
      <c r="B480" t="s">
        <v>4</v>
      </c>
      <c r="C480">
        <v>0.27200000000000002</v>
      </c>
      <c r="D480">
        <v>23</v>
      </c>
      <c r="E480" t="s">
        <v>866</v>
      </c>
      <c r="F480">
        <v>50.041800000000002</v>
      </c>
      <c r="G480">
        <v>19.950244000000001</v>
      </c>
      <c r="H480" s="1">
        <v>45386</v>
      </c>
      <c r="I480" s="1" t="str">
        <f t="shared" si="7"/>
        <v>April</v>
      </c>
      <c r="J480" t="s">
        <v>5</v>
      </c>
    </row>
    <row r="481" spans="1:10" x14ac:dyDescent="0.35">
      <c r="A481" t="s">
        <v>868</v>
      </c>
      <c r="B481" t="s">
        <v>6</v>
      </c>
      <c r="C481">
        <v>0.26200000000000001</v>
      </c>
      <c r="D481">
        <v>22</v>
      </c>
      <c r="E481" t="s">
        <v>865</v>
      </c>
      <c r="F481">
        <v>47.508904999999999</v>
      </c>
      <c r="G481">
        <v>18.946570000000001</v>
      </c>
      <c r="H481" s="1">
        <v>45386</v>
      </c>
      <c r="I481" s="1" t="str">
        <f t="shared" si="7"/>
        <v>April</v>
      </c>
      <c r="J481" t="s">
        <v>5</v>
      </c>
    </row>
    <row r="482" spans="1:10" hidden="1" x14ac:dyDescent="0.35">
      <c r="A482" t="s">
        <v>864</v>
      </c>
      <c r="B482" t="s">
        <v>4</v>
      </c>
      <c r="C482">
        <v>557</v>
      </c>
      <c r="D482">
        <v>255</v>
      </c>
      <c r="E482" t="s">
        <v>866</v>
      </c>
      <c r="F482">
        <v>52.811203999999996</v>
      </c>
      <c r="G482">
        <v>23.697814000000001</v>
      </c>
      <c r="H482" s="1">
        <v>45387</v>
      </c>
      <c r="I482" s="1" t="str">
        <f t="shared" si="7"/>
        <v>April</v>
      </c>
      <c r="J482" t="s">
        <v>5</v>
      </c>
    </row>
    <row r="483" spans="1:10" hidden="1" x14ac:dyDescent="0.35">
      <c r="A483" t="s">
        <v>869</v>
      </c>
      <c r="B483" t="s">
        <v>6</v>
      </c>
      <c r="C483">
        <v>0.8</v>
      </c>
      <c r="D483">
        <v>17</v>
      </c>
      <c r="E483" t="s">
        <v>866</v>
      </c>
      <c r="F483">
        <v>47.507072999999998</v>
      </c>
      <c r="G483">
        <v>18.947873000000001</v>
      </c>
      <c r="H483" s="1">
        <v>45387</v>
      </c>
      <c r="I483" s="1" t="str">
        <f t="shared" si="7"/>
        <v>April</v>
      </c>
      <c r="J483" t="s">
        <v>5</v>
      </c>
    </row>
    <row r="484" spans="1:10" hidden="1" x14ac:dyDescent="0.35">
      <c r="A484" t="s">
        <v>869</v>
      </c>
      <c r="B484" t="s">
        <v>12</v>
      </c>
      <c r="C484">
        <v>0.9</v>
      </c>
      <c r="D484">
        <v>22</v>
      </c>
      <c r="E484" t="s">
        <v>866</v>
      </c>
      <c r="F484">
        <v>47.31758</v>
      </c>
      <c r="G484">
        <v>11.187606000000001</v>
      </c>
      <c r="H484" s="1">
        <v>45387</v>
      </c>
      <c r="I484" s="1" t="str">
        <f t="shared" si="7"/>
        <v>April</v>
      </c>
      <c r="J484" t="s">
        <v>8</v>
      </c>
    </row>
    <row r="485" spans="1:10" x14ac:dyDescent="0.35">
      <c r="A485" t="s">
        <v>869</v>
      </c>
      <c r="B485" t="s">
        <v>12</v>
      </c>
      <c r="C485">
        <v>0.8</v>
      </c>
      <c r="D485">
        <v>16</v>
      </c>
      <c r="E485" t="s">
        <v>865</v>
      </c>
      <c r="F485">
        <v>47.319470000000003</v>
      </c>
      <c r="G485">
        <v>11.18573</v>
      </c>
      <c r="H485" s="1">
        <v>45387</v>
      </c>
      <c r="I485" s="1" t="str">
        <f t="shared" si="7"/>
        <v>April</v>
      </c>
      <c r="J485" t="s">
        <v>8</v>
      </c>
    </row>
    <row r="486" spans="1:10" x14ac:dyDescent="0.35">
      <c r="A486" t="s">
        <v>869</v>
      </c>
      <c r="B486" t="s">
        <v>12</v>
      </c>
      <c r="C486">
        <v>0.7</v>
      </c>
      <c r="D486">
        <v>18</v>
      </c>
      <c r="E486" t="s">
        <v>865</v>
      </c>
      <c r="F486">
        <v>47.319811999999999</v>
      </c>
      <c r="G486">
        <v>11.18479</v>
      </c>
      <c r="H486" s="1">
        <v>45387</v>
      </c>
      <c r="I486" s="1" t="str">
        <f t="shared" si="7"/>
        <v>April</v>
      </c>
      <c r="J486" t="s">
        <v>8</v>
      </c>
    </row>
    <row r="487" spans="1:10" hidden="1" x14ac:dyDescent="0.35">
      <c r="A487" t="s">
        <v>869</v>
      </c>
      <c r="B487" t="s">
        <v>12</v>
      </c>
      <c r="C487">
        <v>0.8</v>
      </c>
      <c r="D487">
        <v>20</v>
      </c>
      <c r="E487" t="s">
        <v>866</v>
      </c>
      <c r="F487">
        <v>47.316383000000002</v>
      </c>
      <c r="G487">
        <v>11.188381</v>
      </c>
      <c r="H487" s="1">
        <v>45387</v>
      </c>
      <c r="I487" s="1" t="str">
        <f t="shared" si="7"/>
        <v>April</v>
      </c>
      <c r="J487" t="s">
        <v>8</v>
      </c>
    </row>
    <row r="488" spans="1:10" hidden="1" x14ac:dyDescent="0.35">
      <c r="A488" t="s">
        <v>868</v>
      </c>
      <c r="B488" t="s">
        <v>12</v>
      </c>
      <c r="C488">
        <v>0.29899999999999999</v>
      </c>
      <c r="D488">
        <v>20</v>
      </c>
      <c r="E488" t="s">
        <v>866</v>
      </c>
      <c r="F488">
        <v>47.781131000000002</v>
      </c>
      <c r="G488">
        <v>14.382206999999999</v>
      </c>
      <c r="H488" s="1">
        <v>45387</v>
      </c>
      <c r="I488" s="1" t="str">
        <f t="shared" si="7"/>
        <v>April</v>
      </c>
      <c r="J488" t="s">
        <v>8</v>
      </c>
    </row>
    <row r="489" spans="1:10" hidden="1" x14ac:dyDescent="0.35">
      <c r="A489" t="s">
        <v>868</v>
      </c>
      <c r="B489" t="s">
        <v>870</v>
      </c>
      <c r="C489">
        <v>0.26600000000000001</v>
      </c>
      <c r="D489">
        <v>20</v>
      </c>
      <c r="E489" t="s">
        <v>866</v>
      </c>
      <c r="F489">
        <v>47.781632000000002</v>
      </c>
      <c r="G489">
        <v>14.382365</v>
      </c>
      <c r="H489" s="1">
        <v>45387</v>
      </c>
      <c r="I489" s="1" t="str">
        <f t="shared" si="7"/>
        <v>April</v>
      </c>
      <c r="J489" t="s">
        <v>8</v>
      </c>
    </row>
    <row r="490" spans="1:10" x14ac:dyDescent="0.35">
      <c r="A490" t="s">
        <v>868</v>
      </c>
      <c r="B490" t="s">
        <v>12</v>
      </c>
      <c r="C490">
        <v>0.308</v>
      </c>
      <c r="D490">
        <v>18</v>
      </c>
      <c r="E490" t="s">
        <v>865</v>
      </c>
      <c r="F490">
        <v>47.780904</v>
      </c>
      <c r="G490">
        <v>14.385669</v>
      </c>
      <c r="H490" s="1">
        <v>45387</v>
      </c>
      <c r="I490" s="1" t="str">
        <f t="shared" si="7"/>
        <v>April</v>
      </c>
      <c r="J490" t="s">
        <v>8</v>
      </c>
    </row>
    <row r="491" spans="1:10" x14ac:dyDescent="0.35">
      <c r="A491" t="s">
        <v>868</v>
      </c>
      <c r="B491" t="s">
        <v>12</v>
      </c>
      <c r="C491">
        <v>0.26400000000000001</v>
      </c>
      <c r="D491">
        <v>22</v>
      </c>
      <c r="E491" t="s">
        <v>865</v>
      </c>
      <c r="F491">
        <v>47.781089000000001</v>
      </c>
      <c r="G491">
        <v>14.385211</v>
      </c>
      <c r="H491" s="1">
        <v>45387</v>
      </c>
      <c r="I491" s="1" t="str">
        <f t="shared" si="7"/>
        <v>April</v>
      </c>
      <c r="J491" t="s">
        <v>8</v>
      </c>
    </row>
    <row r="492" spans="1:10" x14ac:dyDescent="0.35">
      <c r="A492" t="s">
        <v>868</v>
      </c>
      <c r="B492" t="s">
        <v>12</v>
      </c>
      <c r="C492">
        <v>0.32200000000000001</v>
      </c>
      <c r="D492">
        <v>20</v>
      </c>
      <c r="E492" t="s">
        <v>865</v>
      </c>
      <c r="F492">
        <v>47.781332999999997</v>
      </c>
      <c r="G492">
        <v>14.382547000000001</v>
      </c>
      <c r="H492" s="1">
        <v>45387</v>
      </c>
      <c r="I492" s="1" t="str">
        <f t="shared" si="7"/>
        <v>April</v>
      </c>
      <c r="J492" t="s">
        <v>8</v>
      </c>
    </row>
    <row r="493" spans="1:10" hidden="1" x14ac:dyDescent="0.35">
      <c r="A493" t="s">
        <v>868</v>
      </c>
      <c r="B493" t="s">
        <v>12</v>
      </c>
      <c r="C493">
        <v>0.33200000000000002</v>
      </c>
      <c r="D493">
        <v>18</v>
      </c>
      <c r="E493" t="s">
        <v>866</v>
      </c>
      <c r="F493">
        <v>47.780926999999998</v>
      </c>
      <c r="G493">
        <v>14.382187999999999</v>
      </c>
      <c r="H493" s="1">
        <v>45387</v>
      </c>
      <c r="I493" s="1" t="str">
        <f t="shared" si="7"/>
        <v>April</v>
      </c>
      <c r="J493" t="s">
        <v>8</v>
      </c>
    </row>
    <row r="494" spans="1:10" x14ac:dyDescent="0.35">
      <c r="A494" t="s">
        <v>868</v>
      </c>
      <c r="B494" t="s">
        <v>12</v>
      </c>
      <c r="C494">
        <v>0.253</v>
      </c>
      <c r="D494">
        <v>21</v>
      </c>
      <c r="E494" t="s">
        <v>865</v>
      </c>
      <c r="F494">
        <v>47.856031999999999</v>
      </c>
      <c r="G494">
        <v>15.076768</v>
      </c>
      <c r="H494" s="1">
        <v>45387</v>
      </c>
      <c r="I494" s="1" t="str">
        <f t="shared" si="7"/>
        <v>April</v>
      </c>
      <c r="J494" t="s">
        <v>8</v>
      </c>
    </row>
    <row r="495" spans="1:10" hidden="1" x14ac:dyDescent="0.35">
      <c r="A495" t="s">
        <v>868</v>
      </c>
      <c r="B495" t="s">
        <v>7</v>
      </c>
      <c r="C495">
        <v>0.317</v>
      </c>
      <c r="D495">
        <v>20</v>
      </c>
      <c r="E495" t="s">
        <v>866</v>
      </c>
      <c r="F495">
        <v>49.545912999999999</v>
      </c>
      <c r="G495">
        <v>11.081051</v>
      </c>
      <c r="H495" s="1">
        <v>45387</v>
      </c>
      <c r="I495" s="1" t="str">
        <f t="shared" si="7"/>
        <v>April</v>
      </c>
      <c r="J495" t="s">
        <v>8</v>
      </c>
    </row>
    <row r="496" spans="1:10" x14ac:dyDescent="0.35">
      <c r="A496" t="s">
        <v>868</v>
      </c>
      <c r="B496" t="s">
        <v>7</v>
      </c>
      <c r="C496">
        <v>0.32700000000000001</v>
      </c>
      <c r="D496">
        <v>20</v>
      </c>
      <c r="E496" t="s">
        <v>865</v>
      </c>
      <c r="F496">
        <v>49.550427999999997</v>
      </c>
      <c r="G496">
        <v>11.077659000000001</v>
      </c>
      <c r="H496" s="1">
        <v>45387</v>
      </c>
      <c r="I496" s="1" t="str">
        <f t="shared" si="7"/>
        <v>April</v>
      </c>
      <c r="J496" t="s">
        <v>8</v>
      </c>
    </row>
    <row r="497" spans="1:10" hidden="1" x14ac:dyDescent="0.35">
      <c r="A497" t="s">
        <v>868</v>
      </c>
      <c r="B497" t="s">
        <v>7</v>
      </c>
      <c r="C497">
        <v>0.255</v>
      </c>
      <c r="D497">
        <v>19</v>
      </c>
      <c r="E497" t="s">
        <v>866</v>
      </c>
      <c r="F497">
        <v>49.558869000000001</v>
      </c>
      <c r="G497">
        <v>11.076638000000001</v>
      </c>
      <c r="H497" s="1">
        <v>45387</v>
      </c>
      <c r="I497" s="1" t="str">
        <f t="shared" si="7"/>
        <v>April</v>
      </c>
      <c r="J497" t="s">
        <v>8</v>
      </c>
    </row>
    <row r="498" spans="1:10" hidden="1" x14ac:dyDescent="0.35">
      <c r="A498" t="s">
        <v>869</v>
      </c>
      <c r="B498" t="s">
        <v>9</v>
      </c>
      <c r="C498">
        <v>0.8</v>
      </c>
      <c r="D498">
        <v>21</v>
      </c>
      <c r="E498" t="s">
        <v>866</v>
      </c>
      <c r="F498">
        <v>48.412407999999999</v>
      </c>
      <c r="G498">
        <v>18.869074000000001</v>
      </c>
      <c r="H498" s="1">
        <v>45387</v>
      </c>
      <c r="I498" s="1" t="str">
        <f t="shared" si="7"/>
        <v>April</v>
      </c>
      <c r="J498" t="s">
        <v>10</v>
      </c>
    </row>
    <row r="499" spans="1:10" x14ac:dyDescent="0.35">
      <c r="A499" t="s">
        <v>867</v>
      </c>
      <c r="B499" t="s">
        <v>11</v>
      </c>
      <c r="C499">
        <v>15</v>
      </c>
      <c r="D499">
        <v>70</v>
      </c>
      <c r="E499" t="s">
        <v>865</v>
      </c>
      <c r="F499">
        <v>50.883893999999998</v>
      </c>
      <c r="G499">
        <v>14.372363999999999</v>
      </c>
      <c r="H499" s="1">
        <v>45387</v>
      </c>
      <c r="I499" s="1" t="str">
        <f t="shared" si="7"/>
        <v>April</v>
      </c>
      <c r="J499" t="s">
        <v>10</v>
      </c>
    </row>
    <row r="500" spans="1:10" hidden="1" x14ac:dyDescent="0.35">
      <c r="A500" t="s">
        <v>868</v>
      </c>
      <c r="B500" t="s">
        <v>9</v>
      </c>
      <c r="C500">
        <v>0.3</v>
      </c>
      <c r="D500">
        <v>19</v>
      </c>
      <c r="E500" t="s">
        <v>866</v>
      </c>
      <c r="F500">
        <v>48.229837000000003</v>
      </c>
      <c r="G500">
        <v>17.089217999999999</v>
      </c>
      <c r="H500" s="1">
        <v>45387</v>
      </c>
      <c r="I500" s="1" t="str">
        <f t="shared" si="7"/>
        <v>April</v>
      </c>
      <c r="J500" t="s">
        <v>10</v>
      </c>
    </row>
    <row r="501" spans="1:10" hidden="1" x14ac:dyDescent="0.35">
      <c r="A501" t="s">
        <v>864</v>
      </c>
      <c r="B501" t="s">
        <v>4</v>
      </c>
      <c r="C501">
        <v>589</v>
      </c>
      <c r="D501">
        <v>279</v>
      </c>
      <c r="E501" t="s">
        <v>866</v>
      </c>
      <c r="F501">
        <v>52.808703999999999</v>
      </c>
      <c r="G501">
        <v>23.705504000000001</v>
      </c>
      <c r="H501" s="1">
        <v>45388</v>
      </c>
      <c r="I501" s="1" t="str">
        <f t="shared" si="7"/>
        <v>April</v>
      </c>
      <c r="J501" t="s">
        <v>5</v>
      </c>
    </row>
    <row r="502" spans="1:10" hidden="1" x14ac:dyDescent="0.35">
      <c r="A502" t="s">
        <v>869</v>
      </c>
      <c r="B502" t="s">
        <v>6</v>
      </c>
      <c r="C502">
        <v>0.7</v>
      </c>
      <c r="D502">
        <v>16</v>
      </c>
      <c r="E502" t="s">
        <v>866</v>
      </c>
      <c r="F502">
        <v>47.510230999999997</v>
      </c>
      <c r="G502">
        <v>18.940041999999998</v>
      </c>
      <c r="H502" s="1">
        <v>45388</v>
      </c>
      <c r="I502" s="1" t="str">
        <f t="shared" si="7"/>
        <v>April</v>
      </c>
      <c r="J502" t="s">
        <v>5</v>
      </c>
    </row>
    <row r="503" spans="1:10" hidden="1" x14ac:dyDescent="0.35">
      <c r="A503" t="s">
        <v>869</v>
      </c>
      <c r="B503" t="s">
        <v>6</v>
      </c>
      <c r="C503">
        <v>0.8</v>
      </c>
      <c r="D503">
        <v>14</v>
      </c>
      <c r="E503" t="s">
        <v>866</v>
      </c>
      <c r="F503">
        <v>47.509073000000001</v>
      </c>
      <c r="G503">
        <v>18.946838</v>
      </c>
      <c r="H503" s="1">
        <v>45388</v>
      </c>
      <c r="I503" s="1" t="str">
        <f t="shared" si="7"/>
        <v>April</v>
      </c>
      <c r="J503" t="s">
        <v>5</v>
      </c>
    </row>
    <row r="504" spans="1:10" x14ac:dyDescent="0.35">
      <c r="A504" t="s">
        <v>868</v>
      </c>
      <c r="B504" t="s">
        <v>4</v>
      </c>
      <c r="C504">
        <v>0.34799999999999998</v>
      </c>
      <c r="D504">
        <v>23</v>
      </c>
      <c r="E504" t="s">
        <v>865</v>
      </c>
      <c r="F504">
        <v>50.041252</v>
      </c>
      <c r="G504">
        <v>19.950033000000001</v>
      </c>
      <c r="H504" s="1">
        <v>45388</v>
      </c>
      <c r="I504" s="1" t="str">
        <f t="shared" si="7"/>
        <v>April</v>
      </c>
      <c r="J504" t="s">
        <v>5</v>
      </c>
    </row>
    <row r="505" spans="1:10" x14ac:dyDescent="0.35">
      <c r="A505" t="s">
        <v>868</v>
      </c>
      <c r="B505" t="s">
        <v>12</v>
      </c>
      <c r="C505">
        <v>0.29399999999999998</v>
      </c>
      <c r="D505">
        <v>22</v>
      </c>
      <c r="E505" t="s">
        <v>865</v>
      </c>
      <c r="F505">
        <v>47.855007000000001</v>
      </c>
      <c r="G505">
        <v>15.076539</v>
      </c>
      <c r="H505" s="1">
        <v>45388</v>
      </c>
      <c r="I505" s="1" t="str">
        <f t="shared" si="7"/>
        <v>April</v>
      </c>
      <c r="J505" t="s">
        <v>8</v>
      </c>
    </row>
    <row r="506" spans="1:10" x14ac:dyDescent="0.35">
      <c r="A506" t="s">
        <v>868</v>
      </c>
      <c r="B506" t="s">
        <v>7</v>
      </c>
      <c r="C506">
        <v>0.29899999999999999</v>
      </c>
      <c r="D506">
        <v>19</v>
      </c>
      <c r="E506" t="s">
        <v>865</v>
      </c>
      <c r="F506">
        <v>49.89476007476636</v>
      </c>
      <c r="G506">
        <v>11.786535411214958</v>
      </c>
      <c r="H506" s="1">
        <v>45388</v>
      </c>
      <c r="I506" s="1" t="str">
        <f t="shared" si="7"/>
        <v>April</v>
      </c>
      <c r="J506" t="s">
        <v>8</v>
      </c>
    </row>
    <row r="507" spans="1:10" hidden="1" x14ac:dyDescent="0.35">
      <c r="A507" t="s">
        <v>868</v>
      </c>
      <c r="B507" t="s">
        <v>7</v>
      </c>
      <c r="C507">
        <v>0.314</v>
      </c>
      <c r="D507">
        <v>19</v>
      </c>
      <c r="E507" t="s">
        <v>866</v>
      </c>
      <c r="F507">
        <v>49.89476007476636</v>
      </c>
      <c r="G507">
        <v>11.786535411214958</v>
      </c>
      <c r="H507" s="1">
        <v>45388</v>
      </c>
      <c r="I507" s="1" t="str">
        <f t="shared" si="7"/>
        <v>April</v>
      </c>
      <c r="J507" t="s">
        <v>8</v>
      </c>
    </row>
    <row r="508" spans="1:10" x14ac:dyDescent="0.35">
      <c r="A508" t="s">
        <v>868</v>
      </c>
      <c r="B508" t="s">
        <v>7</v>
      </c>
      <c r="C508">
        <v>0.29699999999999999</v>
      </c>
      <c r="D508">
        <v>20</v>
      </c>
      <c r="E508" t="s">
        <v>865</v>
      </c>
      <c r="F508">
        <v>49.89476007476636</v>
      </c>
      <c r="G508">
        <v>11.786535411214958</v>
      </c>
      <c r="H508" s="1">
        <v>45388</v>
      </c>
      <c r="I508" s="1" t="str">
        <f t="shared" si="7"/>
        <v>April</v>
      </c>
      <c r="J508" t="s">
        <v>8</v>
      </c>
    </row>
    <row r="509" spans="1:10" x14ac:dyDescent="0.35">
      <c r="A509" t="s">
        <v>868</v>
      </c>
      <c r="B509" t="s">
        <v>7</v>
      </c>
      <c r="C509">
        <v>0.29799999999999999</v>
      </c>
      <c r="D509">
        <v>21</v>
      </c>
      <c r="E509" t="s">
        <v>865</v>
      </c>
      <c r="F509">
        <v>49.89476007476636</v>
      </c>
      <c r="G509">
        <v>11.786535411214958</v>
      </c>
      <c r="H509" s="1">
        <v>45388</v>
      </c>
      <c r="I509" s="1" t="str">
        <f t="shared" si="7"/>
        <v>April</v>
      </c>
      <c r="J509" t="s">
        <v>8</v>
      </c>
    </row>
    <row r="510" spans="1:10" x14ac:dyDescent="0.35">
      <c r="A510" t="s">
        <v>868</v>
      </c>
      <c r="B510" t="s">
        <v>7</v>
      </c>
      <c r="C510">
        <v>0.30099999999999999</v>
      </c>
      <c r="D510">
        <v>19</v>
      </c>
      <c r="E510" t="s">
        <v>865</v>
      </c>
      <c r="F510">
        <v>49.89476007476636</v>
      </c>
      <c r="G510">
        <v>11.786535411214958</v>
      </c>
      <c r="H510" s="1">
        <v>45388</v>
      </c>
      <c r="I510" s="1" t="str">
        <f t="shared" si="7"/>
        <v>April</v>
      </c>
      <c r="J510" t="s">
        <v>8</v>
      </c>
    </row>
    <row r="511" spans="1:10" hidden="1" x14ac:dyDescent="0.35">
      <c r="A511" t="s">
        <v>868</v>
      </c>
      <c r="B511" t="s">
        <v>7</v>
      </c>
      <c r="C511">
        <v>0.26700000000000002</v>
      </c>
      <c r="D511">
        <v>20</v>
      </c>
      <c r="E511" t="s">
        <v>866</v>
      </c>
      <c r="F511">
        <v>49.89476007476636</v>
      </c>
      <c r="G511">
        <v>11.786535411214958</v>
      </c>
      <c r="H511" s="1">
        <v>45388</v>
      </c>
      <c r="I511" s="1" t="str">
        <f t="shared" ref="I511:I574" si="8">IF(H511="","",TEXT(H511,"MMMM"))</f>
        <v>April</v>
      </c>
      <c r="J511" t="s">
        <v>8</v>
      </c>
    </row>
    <row r="512" spans="1:10" x14ac:dyDescent="0.35">
      <c r="A512" t="s">
        <v>868</v>
      </c>
      <c r="B512" t="s">
        <v>7</v>
      </c>
      <c r="C512">
        <v>0.315</v>
      </c>
      <c r="D512">
        <v>21</v>
      </c>
      <c r="E512" t="s">
        <v>865</v>
      </c>
      <c r="F512">
        <v>49.89476007476636</v>
      </c>
      <c r="G512">
        <v>11.786535411214958</v>
      </c>
      <c r="H512" s="1">
        <v>45388</v>
      </c>
      <c r="I512" s="1" t="str">
        <f t="shared" si="8"/>
        <v>April</v>
      </c>
      <c r="J512" t="s">
        <v>8</v>
      </c>
    </row>
    <row r="513" spans="1:10" hidden="1" x14ac:dyDescent="0.35">
      <c r="A513" t="s">
        <v>868</v>
      </c>
      <c r="B513" t="s">
        <v>7</v>
      </c>
      <c r="C513">
        <v>0.3</v>
      </c>
      <c r="D513">
        <v>21</v>
      </c>
      <c r="E513" t="s">
        <v>866</v>
      </c>
      <c r="F513">
        <v>49.89476007476636</v>
      </c>
      <c r="G513">
        <v>11.786535411214958</v>
      </c>
      <c r="H513" s="1">
        <v>45388</v>
      </c>
      <c r="I513" s="1" t="str">
        <f t="shared" si="8"/>
        <v>April</v>
      </c>
      <c r="J513" t="s">
        <v>8</v>
      </c>
    </row>
    <row r="514" spans="1:10" x14ac:dyDescent="0.35">
      <c r="A514" t="s">
        <v>868</v>
      </c>
      <c r="B514" t="s">
        <v>7</v>
      </c>
      <c r="C514">
        <v>0.3</v>
      </c>
      <c r="D514">
        <v>21</v>
      </c>
      <c r="E514" t="s">
        <v>865</v>
      </c>
      <c r="F514">
        <v>49.89476007476636</v>
      </c>
      <c r="G514">
        <v>11.786535411214958</v>
      </c>
      <c r="H514" s="1">
        <v>45388</v>
      </c>
      <c r="I514" s="1" t="str">
        <f t="shared" si="8"/>
        <v>April</v>
      </c>
      <c r="J514" t="s">
        <v>8</v>
      </c>
    </row>
    <row r="515" spans="1:10" hidden="1" x14ac:dyDescent="0.35">
      <c r="A515" t="s">
        <v>868</v>
      </c>
      <c r="B515" t="s">
        <v>7</v>
      </c>
      <c r="C515">
        <v>0.26400000000000001</v>
      </c>
      <c r="D515">
        <v>22</v>
      </c>
      <c r="E515" t="s">
        <v>866</v>
      </c>
      <c r="F515">
        <v>49.89476007476636</v>
      </c>
      <c r="G515">
        <v>11.786535411214958</v>
      </c>
      <c r="H515" s="1">
        <v>45388</v>
      </c>
      <c r="I515" s="1" t="str">
        <f t="shared" si="8"/>
        <v>April</v>
      </c>
      <c r="J515" t="s">
        <v>8</v>
      </c>
    </row>
    <row r="516" spans="1:10" x14ac:dyDescent="0.35">
      <c r="A516" t="s">
        <v>868</v>
      </c>
      <c r="B516" t="s">
        <v>7</v>
      </c>
      <c r="C516">
        <v>0.251</v>
      </c>
      <c r="D516">
        <v>21</v>
      </c>
      <c r="E516" t="s">
        <v>865</v>
      </c>
      <c r="F516">
        <v>49.89476007476636</v>
      </c>
      <c r="G516">
        <v>11.786535411214958</v>
      </c>
      <c r="H516" s="1">
        <v>45388</v>
      </c>
      <c r="I516" s="1" t="str">
        <f t="shared" si="8"/>
        <v>April</v>
      </c>
      <c r="J516" t="s">
        <v>8</v>
      </c>
    </row>
    <row r="517" spans="1:10" hidden="1" x14ac:dyDescent="0.35">
      <c r="A517" t="s">
        <v>868</v>
      </c>
      <c r="B517" t="s">
        <v>7</v>
      </c>
      <c r="C517">
        <v>0.30199999999999999</v>
      </c>
      <c r="D517">
        <v>22</v>
      </c>
      <c r="E517" t="s">
        <v>866</v>
      </c>
      <c r="F517">
        <v>49.89476007476636</v>
      </c>
      <c r="G517">
        <v>11.786535411214958</v>
      </c>
      <c r="H517" s="1">
        <v>45388</v>
      </c>
      <c r="I517" s="1" t="str">
        <f t="shared" si="8"/>
        <v>April</v>
      </c>
      <c r="J517" t="s">
        <v>8</v>
      </c>
    </row>
    <row r="518" spans="1:10" hidden="1" x14ac:dyDescent="0.35">
      <c r="A518" t="s">
        <v>868</v>
      </c>
      <c r="B518" t="s">
        <v>7</v>
      </c>
      <c r="C518">
        <v>0.26200000000000001</v>
      </c>
      <c r="D518">
        <v>22</v>
      </c>
      <c r="E518" t="s">
        <v>866</v>
      </c>
      <c r="F518">
        <v>49.89476007476636</v>
      </c>
      <c r="G518">
        <v>11.786535411214958</v>
      </c>
      <c r="H518" s="1">
        <v>45388</v>
      </c>
      <c r="I518" s="1" t="str">
        <f t="shared" si="8"/>
        <v>April</v>
      </c>
      <c r="J518" t="s">
        <v>8</v>
      </c>
    </row>
    <row r="519" spans="1:10" x14ac:dyDescent="0.35">
      <c r="A519" t="s">
        <v>868</v>
      </c>
      <c r="B519" t="s">
        <v>7</v>
      </c>
      <c r="C519">
        <v>0.30099999999999999</v>
      </c>
      <c r="D519">
        <v>20</v>
      </c>
      <c r="E519" t="s">
        <v>865</v>
      </c>
      <c r="F519">
        <v>49.89476007476636</v>
      </c>
      <c r="G519">
        <v>11.786535411214958</v>
      </c>
      <c r="H519" s="1">
        <v>45388</v>
      </c>
      <c r="I519" s="1" t="str">
        <f t="shared" si="8"/>
        <v>April</v>
      </c>
      <c r="J519" t="s">
        <v>8</v>
      </c>
    </row>
    <row r="520" spans="1:10" x14ac:dyDescent="0.35">
      <c r="A520" t="s">
        <v>868</v>
      </c>
      <c r="B520" t="s">
        <v>7</v>
      </c>
      <c r="C520">
        <v>0.24299999999999999</v>
      </c>
      <c r="D520">
        <v>19</v>
      </c>
      <c r="E520" t="s">
        <v>865</v>
      </c>
      <c r="F520">
        <v>49.89476007476636</v>
      </c>
      <c r="G520">
        <v>11.786535411214958</v>
      </c>
      <c r="H520" s="1">
        <v>45388</v>
      </c>
      <c r="I520" s="1" t="str">
        <f t="shared" si="8"/>
        <v>April</v>
      </c>
      <c r="J520" t="s">
        <v>8</v>
      </c>
    </row>
    <row r="521" spans="1:10" x14ac:dyDescent="0.35">
      <c r="A521" t="s">
        <v>868</v>
      </c>
      <c r="B521" t="s">
        <v>7</v>
      </c>
      <c r="C521">
        <v>0.314</v>
      </c>
      <c r="D521">
        <v>20</v>
      </c>
      <c r="E521" t="s">
        <v>865</v>
      </c>
      <c r="F521">
        <v>49.89476007476636</v>
      </c>
      <c r="G521">
        <v>11.786535411214958</v>
      </c>
      <c r="H521" s="1">
        <v>45388</v>
      </c>
      <c r="I521" s="1" t="str">
        <f t="shared" si="8"/>
        <v>April</v>
      </c>
      <c r="J521" t="s">
        <v>8</v>
      </c>
    </row>
    <row r="522" spans="1:10" x14ac:dyDescent="0.35">
      <c r="A522" t="s">
        <v>868</v>
      </c>
      <c r="B522" t="s">
        <v>7</v>
      </c>
      <c r="C522">
        <v>0.24399999999999999</v>
      </c>
      <c r="D522">
        <v>20</v>
      </c>
      <c r="E522" t="s">
        <v>865</v>
      </c>
      <c r="F522">
        <v>49.89476007476636</v>
      </c>
      <c r="G522">
        <v>11.786535411214958</v>
      </c>
      <c r="H522" s="1">
        <v>45388</v>
      </c>
      <c r="I522" s="1" t="str">
        <f t="shared" si="8"/>
        <v>April</v>
      </c>
      <c r="J522" t="s">
        <v>8</v>
      </c>
    </row>
    <row r="523" spans="1:10" x14ac:dyDescent="0.35">
      <c r="A523" t="s">
        <v>868</v>
      </c>
      <c r="B523" t="s">
        <v>7</v>
      </c>
      <c r="C523">
        <v>0.25</v>
      </c>
      <c r="D523">
        <v>22</v>
      </c>
      <c r="E523" t="s">
        <v>865</v>
      </c>
      <c r="F523">
        <v>49.89476007476636</v>
      </c>
      <c r="G523">
        <v>11.786535411214958</v>
      </c>
      <c r="H523" s="1">
        <v>45388</v>
      </c>
      <c r="I523" s="1" t="str">
        <f t="shared" si="8"/>
        <v>April</v>
      </c>
      <c r="J523" t="s">
        <v>8</v>
      </c>
    </row>
    <row r="524" spans="1:10" x14ac:dyDescent="0.35">
      <c r="A524" t="s">
        <v>868</v>
      </c>
      <c r="B524" t="s">
        <v>7</v>
      </c>
      <c r="C524">
        <v>0.27200000000000002</v>
      </c>
      <c r="D524">
        <v>20</v>
      </c>
      <c r="E524" t="s">
        <v>865</v>
      </c>
      <c r="F524">
        <v>49.89476007476636</v>
      </c>
      <c r="G524">
        <v>11.786535411214958</v>
      </c>
      <c r="H524" s="1">
        <v>45388</v>
      </c>
      <c r="I524" s="1" t="str">
        <f t="shared" si="8"/>
        <v>April</v>
      </c>
      <c r="J524" t="s">
        <v>8</v>
      </c>
    </row>
    <row r="525" spans="1:10" x14ac:dyDescent="0.35">
      <c r="A525" t="s">
        <v>868</v>
      </c>
      <c r="B525" t="s">
        <v>7</v>
      </c>
      <c r="C525">
        <v>0.28899999999999998</v>
      </c>
      <c r="D525">
        <v>20</v>
      </c>
      <c r="E525" t="s">
        <v>865</v>
      </c>
      <c r="F525">
        <v>49.89476007476636</v>
      </c>
      <c r="G525">
        <v>11.786535411214958</v>
      </c>
      <c r="H525" s="1">
        <v>45388</v>
      </c>
      <c r="I525" s="1" t="str">
        <f t="shared" si="8"/>
        <v>April</v>
      </c>
      <c r="J525" t="s">
        <v>8</v>
      </c>
    </row>
    <row r="526" spans="1:10" x14ac:dyDescent="0.35">
      <c r="A526" t="s">
        <v>868</v>
      </c>
      <c r="B526" t="s">
        <v>7</v>
      </c>
      <c r="C526">
        <v>0.315</v>
      </c>
      <c r="D526">
        <v>20</v>
      </c>
      <c r="E526" t="s">
        <v>865</v>
      </c>
      <c r="F526">
        <v>49.89476007476636</v>
      </c>
      <c r="G526">
        <v>11.786535411214958</v>
      </c>
      <c r="H526" s="1">
        <v>45388</v>
      </c>
      <c r="I526" s="1" t="str">
        <f t="shared" si="8"/>
        <v>April</v>
      </c>
      <c r="J526" t="s">
        <v>8</v>
      </c>
    </row>
    <row r="527" spans="1:10" x14ac:dyDescent="0.35">
      <c r="A527" t="s">
        <v>868</v>
      </c>
      <c r="B527" t="s">
        <v>7</v>
      </c>
      <c r="C527">
        <v>0.30399999999999999</v>
      </c>
      <c r="D527">
        <v>21</v>
      </c>
      <c r="E527" t="s">
        <v>865</v>
      </c>
      <c r="F527">
        <v>49.89476007476636</v>
      </c>
      <c r="G527">
        <v>11.786535411214958</v>
      </c>
      <c r="H527" s="1">
        <v>45388</v>
      </c>
      <c r="I527" s="1" t="str">
        <f t="shared" si="8"/>
        <v>April</v>
      </c>
      <c r="J527" t="s">
        <v>8</v>
      </c>
    </row>
    <row r="528" spans="1:10" x14ac:dyDescent="0.35">
      <c r="A528" t="s">
        <v>868</v>
      </c>
      <c r="B528" t="s">
        <v>7</v>
      </c>
      <c r="C528">
        <v>0.24099999999999999</v>
      </c>
      <c r="D528">
        <v>19</v>
      </c>
      <c r="E528" t="s">
        <v>865</v>
      </c>
      <c r="F528">
        <v>49.89476007476636</v>
      </c>
      <c r="G528">
        <v>11.786535411214958</v>
      </c>
      <c r="H528" s="1">
        <v>45388</v>
      </c>
      <c r="I528" s="1" t="str">
        <f t="shared" si="8"/>
        <v>April</v>
      </c>
      <c r="J528" t="s">
        <v>8</v>
      </c>
    </row>
    <row r="529" spans="1:10" x14ac:dyDescent="0.35">
      <c r="A529" t="s">
        <v>868</v>
      </c>
      <c r="B529" t="s">
        <v>7</v>
      </c>
      <c r="C529">
        <v>0.248</v>
      </c>
      <c r="D529">
        <v>22</v>
      </c>
      <c r="E529" t="s">
        <v>865</v>
      </c>
      <c r="F529">
        <v>49.89476007476636</v>
      </c>
      <c r="G529">
        <v>11.786535411214958</v>
      </c>
      <c r="H529" s="1">
        <v>45388</v>
      </c>
      <c r="I529" s="1" t="str">
        <f t="shared" si="8"/>
        <v>April</v>
      </c>
      <c r="J529" t="s">
        <v>8</v>
      </c>
    </row>
    <row r="530" spans="1:10" x14ac:dyDescent="0.35">
      <c r="A530" t="s">
        <v>868</v>
      </c>
      <c r="B530" t="s">
        <v>7</v>
      </c>
      <c r="C530">
        <v>0.28999999999999998</v>
      </c>
      <c r="D530">
        <v>21</v>
      </c>
      <c r="E530" t="s">
        <v>865</v>
      </c>
      <c r="F530">
        <v>49.89476007476636</v>
      </c>
      <c r="G530">
        <v>11.786535411214958</v>
      </c>
      <c r="H530" s="1">
        <v>45388</v>
      </c>
      <c r="I530" s="1" t="str">
        <f t="shared" si="8"/>
        <v>April</v>
      </c>
      <c r="J530" t="s">
        <v>8</v>
      </c>
    </row>
    <row r="531" spans="1:10" x14ac:dyDescent="0.35">
      <c r="B531" t="s">
        <v>12</v>
      </c>
      <c r="C531">
        <v>0.31900000000000001</v>
      </c>
      <c r="D531">
        <v>20</v>
      </c>
      <c r="E531" t="s">
        <v>865</v>
      </c>
      <c r="F531">
        <v>49.89476007476636</v>
      </c>
      <c r="G531">
        <v>11.786535411214958</v>
      </c>
      <c r="H531" s="1">
        <v>45388</v>
      </c>
      <c r="I531" s="1" t="str">
        <f t="shared" si="8"/>
        <v>April</v>
      </c>
      <c r="J531" t="s">
        <v>8</v>
      </c>
    </row>
    <row r="532" spans="1:10" hidden="1" x14ac:dyDescent="0.35">
      <c r="B532" t="s">
        <v>12</v>
      </c>
      <c r="C532">
        <v>0.29199999999999998</v>
      </c>
      <c r="D532">
        <v>19</v>
      </c>
      <c r="E532" t="s">
        <v>866</v>
      </c>
      <c r="F532">
        <v>49.89476007476636</v>
      </c>
      <c r="G532">
        <v>11.786535411214958</v>
      </c>
      <c r="H532" s="1">
        <v>45388</v>
      </c>
      <c r="I532" s="1" t="str">
        <f t="shared" si="8"/>
        <v>April</v>
      </c>
      <c r="J532" t="s">
        <v>8</v>
      </c>
    </row>
    <row r="533" spans="1:10" hidden="1" x14ac:dyDescent="0.35">
      <c r="B533" t="s">
        <v>12</v>
      </c>
      <c r="C533">
        <v>0.31900000000000001</v>
      </c>
      <c r="D533">
        <v>19</v>
      </c>
      <c r="E533" t="s">
        <v>866</v>
      </c>
      <c r="F533">
        <v>49.89476007476636</v>
      </c>
      <c r="G533">
        <v>11.786535411214958</v>
      </c>
      <c r="H533" s="1">
        <v>45388</v>
      </c>
      <c r="I533" s="1" t="str">
        <f t="shared" si="8"/>
        <v>April</v>
      </c>
      <c r="J533" t="s">
        <v>8</v>
      </c>
    </row>
    <row r="534" spans="1:10" x14ac:dyDescent="0.35">
      <c r="B534" t="s">
        <v>12</v>
      </c>
      <c r="C534">
        <v>0.29799999999999999</v>
      </c>
      <c r="D534">
        <v>20</v>
      </c>
      <c r="E534" t="s">
        <v>865</v>
      </c>
      <c r="F534">
        <v>49.89476007476636</v>
      </c>
      <c r="G534">
        <v>11.786535411214958</v>
      </c>
      <c r="H534" s="1">
        <v>45388</v>
      </c>
      <c r="I534" s="1" t="str">
        <f t="shared" si="8"/>
        <v>April</v>
      </c>
      <c r="J534" t="s">
        <v>8</v>
      </c>
    </row>
    <row r="535" spans="1:10" x14ac:dyDescent="0.35">
      <c r="B535" t="s">
        <v>12</v>
      </c>
      <c r="C535">
        <v>0.255</v>
      </c>
      <c r="D535">
        <v>22</v>
      </c>
      <c r="E535" t="s">
        <v>865</v>
      </c>
      <c r="F535">
        <v>49.89476007476636</v>
      </c>
      <c r="G535">
        <v>11.786535411214958</v>
      </c>
      <c r="H535" s="1">
        <v>45388</v>
      </c>
      <c r="I535" s="1" t="str">
        <f t="shared" si="8"/>
        <v>April</v>
      </c>
      <c r="J535" t="s">
        <v>8</v>
      </c>
    </row>
    <row r="536" spans="1:10" x14ac:dyDescent="0.35">
      <c r="B536" t="s">
        <v>12</v>
      </c>
      <c r="C536">
        <v>0.3</v>
      </c>
      <c r="D536">
        <v>20</v>
      </c>
      <c r="E536" t="s">
        <v>865</v>
      </c>
      <c r="F536">
        <v>49.89476007476636</v>
      </c>
      <c r="G536">
        <v>11.786535411214958</v>
      </c>
      <c r="H536" s="1">
        <v>45388</v>
      </c>
      <c r="I536" s="1" t="str">
        <f t="shared" si="8"/>
        <v>April</v>
      </c>
      <c r="J536" t="s">
        <v>8</v>
      </c>
    </row>
    <row r="537" spans="1:10" x14ac:dyDescent="0.35">
      <c r="B537" t="s">
        <v>12</v>
      </c>
      <c r="C537">
        <v>0.252</v>
      </c>
      <c r="D537">
        <v>21</v>
      </c>
      <c r="E537" t="s">
        <v>865</v>
      </c>
      <c r="F537">
        <v>49.89476007476636</v>
      </c>
      <c r="G537">
        <v>11.786535411214958</v>
      </c>
      <c r="H537" s="1">
        <v>45388</v>
      </c>
      <c r="I537" s="1" t="str">
        <f t="shared" si="8"/>
        <v>April</v>
      </c>
      <c r="J537" t="s">
        <v>8</v>
      </c>
    </row>
    <row r="538" spans="1:10" x14ac:dyDescent="0.35">
      <c r="A538" t="s">
        <v>869</v>
      </c>
      <c r="B538" t="s">
        <v>9</v>
      </c>
      <c r="C538">
        <v>0.8</v>
      </c>
      <c r="D538">
        <v>17</v>
      </c>
      <c r="E538" t="s">
        <v>865</v>
      </c>
      <c r="F538">
        <v>48.409644999999998</v>
      </c>
      <c r="G538">
        <v>18.872415</v>
      </c>
      <c r="H538" s="1">
        <v>45388</v>
      </c>
      <c r="I538" s="1" t="str">
        <f t="shared" si="8"/>
        <v>April</v>
      </c>
      <c r="J538" t="s">
        <v>10</v>
      </c>
    </row>
    <row r="539" spans="1:10" hidden="1" x14ac:dyDescent="0.35">
      <c r="A539" t="s">
        <v>867</v>
      </c>
      <c r="B539" t="s">
        <v>11</v>
      </c>
      <c r="C539">
        <v>26</v>
      </c>
      <c r="D539">
        <v>88</v>
      </c>
      <c r="E539" t="s">
        <v>866</v>
      </c>
      <c r="F539">
        <v>50.883881000000002</v>
      </c>
      <c r="G539">
        <v>14.373018</v>
      </c>
      <c r="H539" s="1">
        <v>45388</v>
      </c>
      <c r="I539" s="1" t="str">
        <f t="shared" si="8"/>
        <v>April</v>
      </c>
      <c r="J539" t="s">
        <v>10</v>
      </c>
    </row>
    <row r="540" spans="1:10" hidden="1" x14ac:dyDescent="0.35">
      <c r="A540" t="s">
        <v>868</v>
      </c>
      <c r="B540" t="s">
        <v>11</v>
      </c>
      <c r="C540">
        <v>0.316</v>
      </c>
      <c r="D540">
        <v>23</v>
      </c>
      <c r="E540" t="s">
        <v>866</v>
      </c>
      <c r="F540">
        <v>49.939309999999999</v>
      </c>
      <c r="G540">
        <v>14.181266000000001</v>
      </c>
      <c r="H540" s="1">
        <v>45388</v>
      </c>
      <c r="I540" s="1" t="str">
        <f t="shared" si="8"/>
        <v>April</v>
      </c>
      <c r="J540" t="s">
        <v>10</v>
      </c>
    </row>
    <row r="541" spans="1:10" x14ac:dyDescent="0.35">
      <c r="A541" t="s">
        <v>868</v>
      </c>
      <c r="B541" t="s">
        <v>11</v>
      </c>
      <c r="C541">
        <v>0.32700000000000001</v>
      </c>
      <c r="D541">
        <v>21</v>
      </c>
      <c r="E541" t="s">
        <v>865</v>
      </c>
      <c r="F541">
        <v>49.938616000000003</v>
      </c>
      <c r="G541">
        <v>14.181291</v>
      </c>
      <c r="H541" s="1">
        <v>45388</v>
      </c>
      <c r="I541" s="1" t="str">
        <f t="shared" si="8"/>
        <v>April</v>
      </c>
      <c r="J541" t="s">
        <v>10</v>
      </c>
    </row>
    <row r="542" spans="1:10" x14ac:dyDescent="0.35">
      <c r="A542" t="s">
        <v>868</v>
      </c>
      <c r="B542" t="s">
        <v>11</v>
      </c>
      <c r="C542">
        <v>0.28799999999999998</v>
      </c>
      <c r="D542">
        <v>18</v>
      </c>
      <c r="E542" t="s">
        <v>865</v>
      </c>
      <c r="F542">
        <v>49.937838999999997</v>
      </c>
      <c r="G542">
        <v>14.179074999999999</v>
      </c>
      <c r="H542" s="1">
        <v>45388</v>
      </c>
      <c r="I542" s="1" t="str">
        <f t="shared" si="8"/>
        <v>April</v>
      </c>
      <c r="J542" t="s">
        <v>10</v>
      </c>
    </row>
    <row r="543" spans="1:10" hidden="1" x14ac:dyDescent="0.35">
      <c r="A543" t="s">
        <v>868</v>
      </c>
      <c r="B543" t="s">
        <v>11</v>
      </c>
      <c r="C543">
        <v>0.313</v>
      </c>
      <c r="D543">
        <v>22</v>
      </c>
      <c r="E543" t="s">
        <v>866</v>
      </c>
      <c r="F543">
        <v>49.939307999999997</v>
      </c>
      <c r="G543">
        <v>14.180747</v>
      </c>
      <c r="H543" s="1">
        <v>45388</v>
      </c>
      <c r="I543" s="1" t="str">
        <f t="shared" si="8"/>
        <v>April</v>
      </c>
      <c r="J543" t="s">
        <v>10</v>
      </c>
    </row>
    <row r="544" spans="1:10" x14ac:dyDescent="0.35">
      <c r="A544" t="s">
        <v>864</v>
      </c>
      <c r="B544" t="s">
        <v>4</v>
      </c>
      <c r="C544">
        <v>1100</v>
      </c>
      <c r="D544">
        <v>350</v>
      </c>
      <c r="E544" t="s">
        <v>865</v>
      </c>
      <c r="F544">
        <v>52.803316000000002</v>
      </c>
      <c r="G544">
        <v>23.686301</v>
      </c>
      <c r="H544" s="1">
        <v>45389</v>
      </c>
      <c r="I544" s="1" t="str">
        <f t="shared" si="8"/>
        <v>April</v>
      </c>
      <c r="J544" t="s">
        <v>5</v>
      </c>
    </row>
    <row r="545" spans="1:10" hidden="1" x14ac:dyDescent="0.35">
      <c r="A545" t="s">
        <v>869</v>
      </c>
      <c r="B545" t="s">
        <v>6</v>
      </c>
      <c r="C545">
        <v>0.9</v>
      </c>
      <c r="D545">
        <v>16</v>
      </c>
      <c r="E545" t="s">
        <v>866</v>
      </c>
      <c r="F545">
        <v>47.506638000000002</v>
      </c>
      <c r="G545">
        <v>18.940090999999999</v>
      </c>
      <c r="H545" s="1">
        <v>45389</v>
      </c>
      <c r="I545" s="1" t="str">
        <f t="shared" si="8"/>
        <v>April</v>
      </c>
      <c r="J545" t="s">
        <v>5</v>
      </c>
    </row>
    <row r="546" spans="1:10" x14ac:dyDescent="0.35">
      <c r="A546" t="s">
        <v>867</v>
      </c>
      <c r="B546" t="s">
        <v>4</v>
      </c>
      <c r="C546">
        <v>23</v>
      </c>
      <c r="D546">
        <v>73</v>
      </c>
      <c r="E546" t="s">
        <v>865</v>
      </c>
      <c r="F546">
        <v>52.823016000000003</v>
      </c>
      <c r="G546">
        <v>23.812286</v>
      </c>
      <c r="H546" s="1">
        <v>45389</v>
      </c>
      <c r="I546" s="1" t="str">
        <f t="shared" si="8"/>
        <v>April</v>
      </c>
      <c r="J546" t="s">
        <v>5</v>
      </c>
    </row>
    <row r="547" spans="1:10" x14ac:dyDescent="0.35">
      <c r="A547" t="s">
        <v>868</v>
      </c>
      <c r="B547" t="s">
        <v>6</v>
      </c>
      <c r="C547">
        <v>0.31900000000000001</v>
      </c>
      <c r="D547">
        <v>18</v>
      </c>
      <c r="E547" t="s">
        <v>865</v>
      </c>
      <c r="F547">
        <v>47.508665000000001</v>
      </c>
      <c r="G547">
        <v>18.940456000000001</v>
      </c>
      <c r="H547" s="1">
        <v>45389</v>
      </c>
      <c r="I547" s="1" t="str">
        <f t="shared" si="8"/>
        <v>April</v>
      </c>
      <c r="J547" t="s">
        <v>5</v>
      </c>
    </row>
    <row r="548" spans="1:10" hidden="1" x14ac:dyDescent="0.35">
      <c r="A548" t="s">
        <v>868</v>
      </c>
      <c r="B548" t="s">
        <v>6</v>
      </c>
      <c r="C548">
        <v>0.28000000000000003</v>
      </c>
      <c r="D548">
        <v>21</v>
      </c>
      <c r="E548" t="s">
        <v>866</v>
      </c>
      <c r="F548">
        <v>47.510978000000001</v>
      </c>
      <c r="G548">
        <v>18.942962999999999</v>
      </c>
      <c r="H548" s="1">
        <v>45389</v>
      </c>
      <c r="I548" s="1" t="str">
        <f t="shared" si="8"/>
        <v>April</v>
      </c>
      <c r="J548" t="s">
        <v>5</v>
      </c>
    </row>
    <row r="549" spans="1:10" hidden="1" x14ac:dyDescent="0.35">
      <c r="A549" t="s">
        <v>868</v>
      </c>
      <c r="B549" t="s">
        <v>12</v>
      </c>
      <c r="C549">
        <v>0.26400000000000001</v>
      </c>
      <c r="D549">
        <v>22</v>
      </c>
      <c r="E549" t="s">
        <v>866</v>
      </c>
      <c r="F549">
        <v>47.857585999999998</v>
      </c>
      <c r="G549">
        <v>15.081327999999999</v>
      </c>
      <c r="H549" s="1">
        <v>45389</v>
      </c>
      <c r="I549" s="1" t="str">
        <f t="shared" si="8"/>
        <v>April</v>
      </c>
      <c r="J549" t="s">
        <v>8</v>
      </c>
    </row>
    <row r="550" spans="1:10" x14ac:dyDescent="0.35">
      <c r="A550" t="s">
        <v>868</v>
      </c>
      <c r="B550" t="s">
        <v>12</v>
      </c>
      <c r="C550">
        <v>0.33400000000000002</v>
      </c>
      <c r="D550">
        <v>19</v>
      </c>
      <c r="E550" t="s">
        <v>865</v>
      </c>
      <c r="F550">
        <v>47.856971000000001</v>
      </c>
      <c r="G550">
        <v>15.078984</v>
      </c>
      <c r="H550" s="1">
        <v>45389</v>
      </c>
      <c r="I550" s="1" t="str">
        <f t="shared" si="8"/>
        <v>April</v>
      </c>
      <c r="J550" t="s">
        <v>8</v>
      </c>
    </row>
    <row r="551" spans="1:10" x14ac:dyDescent="0.35">
      <c r="A551" t="s">
        <v>868</v>
      </c>
      <c r="B551" t="s">
        <v>12</v>
      </c>
      <c r="C551">
        <v>0.27800000000000002</v>
      </c>
      <c r="D551">
        <v>21</v>
      </c>
      <c r="E551" t="s">
        <v>865</v>
      </c>
      <c r="F551">
        <v>47.856769</v>
      </c>
      <c r="G551">
        <v>15.076411</v>
      </c>
      <c r="H551" s="1">
        <v>45389</v>
      </c>
      <c r="I551" s="1" t="str">
        <f t="shared" si="8"/>
        <v>April</v>
      </c>
      <c r="J551" t="s">
        <v>8</v>
      </c>
    </row>
    <row r="552" spans="1:10" hidden="1" x14ac:dyDescent="0.35">
      <c r="A552" t="s">
        <v>868</v>
      </c>
      <c r="B552" t="s">
        <v>12</v>
      </c>
      <c r="C552">
        <v>0.33300000000000002</v>
      </c>
      <c r="D552">
        <v>22</v>
      </c>
      <c r="E552" t="s">
        <v>866</v>
      </c>
      <c r="F552">
        <v>47.855378999999999</v>
      </c>
      <c r="G552">
        <v>15.077237</v>
      </c>
      <c r="H552" s="1">
        <v>45389</v>
      </c>
      <c r="I552" s="1" t="str">
        <f t="shared" si="8"/>
        <v>April</v>
      </c>
      <c r="J552" t="s">
        <v>8</v>
      </c>
    </row>
    <row r="553" spans="1:10" x14ac:dyDescent="0.35">
      <c r="A553" t="s">
        <v>868</v>
      </c>
      <c r="B553" t="s">
        <v>12</v>
      </c>
      <c r="C553">
        <v>0.32300000000000001</v>
      </c>
      <c r="D553">
        <v>23</v>
      </c>
      <c r="E553" t="s">
        <v>865</v>
      </c>
      <c r="F553">
        <v>47.856014999999999</v>
      </c>
      <c r="G553">
        <v>15.08325</v>
      </c>
      <c r="H553" s="1">
        <v>45389</v>
      </c>
      <c r="I553" s="1" t="str">
        <f t="shared" si="8"/>
        <v>April</v>
      </c>
      <c r="J553" t="s">
        <v>8</v>
      </c>
    </row>
    <row r="554" spans="1:10" hidden="1" x14ac:dyDescent="0.35">
      <c r="A554" t="s">
        <v>869</v>
      </c>
      <c r="B554" t="s">
        <v>9</v>
      </c>
      <c r="C554">
        <v>1.1000000000000001</v>
      </c>
      <c r="D554">
        <v>16</v>
      </c>
      <c r="E554" t="s">
        <v>866</v>
      </c>
      <c r="F554">
        <v>48.413153999999999</v>
      </c>
      <c r="G554">
        <v>18.875356</v>
      </c>
      <c r="H554" s="1">
        <v>45389</v>
      </c>
      <c r="I554" s="1" t="str">
        <f t="shared" si="8"/>
        <v>April</v>
      </c>
      <c r="J554" t="s">
        <v>10</v>
      </c>
    </row>
    <row r="555" spans="1:10" hidden="1" x14ac:dyDescent="0.35">
      <c r="A555" t="s">
        <v>868</v>
      </c>
      <c r="B555" t="s">
        <v>4</v>
      </c>
      <c r="C555">
        <v>0.26500000000000001</v>
      </c>
      <c r="D555">
        <v>22</v>
      </c>
      <c r="E555" t="s">
        <v>866</v>
      </c>
      <c r="F555">
        <v>50.041147000000002</v>
      </c>
      <c r="G555">
        <v>19.95046</v>
      </c>
      <c r="H555" s="1">
        <v>45390</v>
      </c>
      <c r="I555" s="1" t="str">
        <f t="shared" si="8"/>
        <v>April</v>
      </c>
      <c r="J555" t="s">
        <v>5</v>
      </c>
    </row>
    <row r="556" spans="1:10" hidden="1" x14ac:dyDescent="0.35">
      <c r="A556" t="s">
        <v>868</v>
      </c>
      <c r="B556" t="s">
        <v>12</v>
      </c>
      <c r="C556">
        <v>0.27</v>
      </c>
      <c r="D556">
        <v>23</v>
      </c>
      <c r="E556" t="s">
        <v>866</v>
      </c>
      <c r="F556">
        <v>47.853881000000001</v>
      </c>
      <c r="G556">
        <v>15.078367</v>
      </c>
      <c r="H556" s="1">
        <v>45390</v>
      </c>
      <c r="I556" s="1" t="str">
        <f t="shared" si="8"/>
        <v>April</v>
      </c>
      <c r="J556" t="s">
        <v>8</v>
      </c>
    </row>
    <row r="557" spans="1:10" hidden="1" x14ac:dyDescent="0.35">
      <c r="A557" t="s">
        <v>868</v>
      </c>
      <c r="B557" t="s">
        <v>12</v>
      </c>
      <c r="C557">
        <v>0.29899999999999999</v>
      </c>
      <c r="D557">
        <v>19</v>
      </c>
      <c r="E557" t="s">
        <v>866</v>
      </c>
      <c r="F557">
        <v>47.854855000000001</v>
      </c>
      <c r="G557">
        <v>15.082167999999999</v>
      </c>
      <c r="H557" s="1">
        <v>45390</v>
      </c>
      <c r="I557" s="1" t="str">
        <f t="shared" si="8"/>
        <v>April</v>
      </c>
      <c r="J557" t="s">
        <v>8</v>
      </c>
    </row>
    <row r="558" spans="1:10" x14ac:dyDescent="0.35">
      <c r="A558" t="s">
        <v>868</v>
      </c>
      <c r="B558" t="s">
        <v>12</v>
      </c>
      <c r="C558">
        <v>0.3</v>
      </c>
      <c r="D558">
        <v>21</v>
      </c>
      <c r="E558" t="s">
        <v>865</v>
      </c>
      <c r="F558">
        <v>47.855215999999999</v>
      </c>
      <c r="G558">
        <v>15.078877</v>
      </c>
      <c r="H558" s="1">
        <v>45390</v>
      </c>
      <c r="I558" s="1" t="str">
        <f t="shared" si="8"/>
        <v>April</v>
      </c>
      <c r="J558" t="s">
        <v>8</v>
      </c>
    </row>
    <row r="559" spans="1:10" x14ac:dyDescent="0.35">
      <c r="A559" t="s">
        <v>868</v>
      </c>
      <c r="B559" t="s">
        <v>12</v>
      </c>
      <c r="C559">
        <v>0.33800000000000002</v>
      </c>
      <c r="D559">
        <v>19</v>
      </c>
      <c r="E559" t="s">
        <v>865</v>
      </c>
      <c r="F559">
        <v>47.857495</v>
      </c>
      <c r="G559">
        <v>15.078950000000001</v>
      </c>
      <c r="H559" s="1">
        <v>45390</v>
      </c>
      <c r="I559" s="1" t="str">
        <f t="shared" si="8"/>
        <v>April</v>
      </c>
      <c r="J559" t="s">
        <v>8</v>
      </c>
    </row>
    <row r="560" spans="1:10" hidden="1" x14ac:dyDescent="0.35">
      <c r="A560" t="s">
        <v>868</v>
      </c>
      <c r="B560" t="s">
        <v>12</v>
      </c>
      <c r="C560">
        <v>0.28499999999999998</v>
      </c>
      <c r="D560">
        <v>21</v>
      </c>
      <c r="E560" t="s">
        <v>866</v>
      </c>
      <c r="F560">
        <v>47.853875000000002</v>
      </c>
      <c r="G560">
        <v>15.078745</v>
      </c>
      <c r="H560" s="1">
        <v>45390</v>
      </c>
      <c r="I560" s="1" t="str">
        <f t="shared" si="8"/>
        <v>April</v>
      </c>
      <c r="J560" t="s">
        <v>8</v>
      </c>
    </row>
    <row r="561" spans="1:10" hidden="1" x14ac:dyDescent="0.35">
      <c r="A561" t="s">
        <v>868</v>
      </c>
      <c r="B561" t="s">
        <v>12</v>
      </c>
      <c r="C561">
        <v>0.33300000000000002</v>
      </c>
      <c r="D561">
        <v>19</v>
      </c>
      <c r="E561" t="s">
        <v>866</v>
      </c>
      <c r="F561">
        <v>47.854756000000002</v>
      </c>
      <c r="G561">
        <v>15.082891999999999</v>
      </c>
      <c r="H561" s="1">
        <v>45390</v>
      </c>
      <c r="I561" s="1" t="str">
        <f t="shared" si="8"/>
        <v>April</v>
      </c>
      <c r="J561" t="s">
        <v>8</v>
      </c>
    </row>
    <row r="562" spans="1:10" x14ac:dyDescent="0.35">
      <c r="A562" t="s">
        <v>868</v>
      </c>
      <c r="B562" t="s">
        <v>12</v>
      </c>
      <c r="C562">
        <v>0.32300000000000001</v>
      </c>
      <c r="D562">
        <v>23</v>
      </c>
      <c r="E562" t="s">
        <v>865</v>
      </c>
      <c r="F562">
        <v>47.854098999999998</v>
      </c>
      <c r="G562">
        <v>15.076812</v>
      </c>
      <c r="H562" s="1">
        <v>45390</v>
      </c>
      <c r="I562" s="1" t="str">
        <f t="shared" si="8"/>
        <v>April</v>
      </c>
      <c r="J562" t="s">
        <v>8</v>
      </c>
    </row>
    <row r="563" spans="1:10" hidden="1" x14ac:dyDescent="0.35">
      <c r="A563" t="s">
        <v>864</v>
      </c>
      <c r="B563" t="s">
        <v>11</v>
      </c>
      <c r="C563">
        <v>560</v>
      </c>
      <c r="D563">
        <v>250</v>
      </c>
      <c r="E563" t="s">
        <v>866</v>
      </c>
      <c r="F563">
        <v>50.645077000000001</v>
      </c>
      <c r="G563">
        <v>14.840304</v>
      </c>
      <c r="H563" s="1">
        <v>45390</v>
      </c>
      <c r="I563" s="1" t="str">
        <f t="shared" si="8"/>
        <v>April</v>
      </c>
      <c r="J563" t="s">
        <v>10</v>
      </c>
    </row>
    <row r="564" spans="1:10" x14ac:dyDescent="0.35">
      <c r="A564" t="s">
        <v>869</v>
      </c>
      <c r="B564" t="s">
        <v>9</v>
      </c>
      <c r="C564">
        <v>1.1000000000000001</v>
      </c>
      <c r="D564">
        <v>25</v>
      </c>
      <c r="E564" t="s">
        <v>865</v>
      </c>
      <c r="F564">
        <v>48.412590000000002</v>
      </c>
      <c r="G564">
        <v>18.87302</v>
      </c>
      <c r="H564" s="1">
        <v>45390</v>
      </c>
      <c r="I564" s="1" t="str">
        <f t="shared" si="8"/>
        <v>April</v>
      </c>
      <c r="J564" t="s">
        <v>10</v>
      </c>
    </row>
    <row r="565" spans="1:10" x14ac:dyDescent="0.35">
      <c r="A565" t="s">
        <v>868</v>
      </c>
      <c r="B565" t="s">
        <v>9</v>
      </c>
      <c r="C565">
        <v>-0.252</v>
      </c>
      <c r="D565">
        <v>21</v>
      </c>
      <c r="E565" t="s">
        <v>865</v>
      </c>
      <c r="F565">
        <v>49.057599000000003</v>
      </c>
      <c r="G565">
        <v>22.422203</v>
      </c>
      <c r="H565" s="1">
        <v>45390</v>
      </c>
      <c r="I565" s="1" t="str">
        <f t="shared" si="8"/>
        <v>April</v>
      </c>
      <c r="J565" t="s">
        <v>10</v>
      </c>
    </row>
    <row r="566" spans="1:10" x14ac:dyDescent="0.35">
      <c r="A566" t="s">
        <v>868</v>
      </c>
      <c r="B566" t="s">
        <v>9</v>
      </c>
      <c r="C566">
        <v>0.26</v>
      </c>
      <c r="D566">
        <v>18</v>
      </c>
      <c r="E566" t="s">
        <v>865</v>
      </c>
      <c r="F566">
        <v>49.053175000000003</v>
      </c>
      <c r="G566">
        <v>22.414666</v>
      </c>
      <c r="H566" s="1">
        <v>45390</v>
      </c>
      <c r="I566" s="1" t="str">
        <f t="shared" si="8"/>
        <v>April</v>
      </c>
      <c r="J566" t="s">
        <v>10</v>
      </c>
    </row>
    <row r="567" spans="1:10" x14ac:dyDescent="0.35">
      <c r="A567" t="s">
        <v>868</v>
      </c>
      <c r="B567" t="s">
        <v>9</v>
      </c>
      <c r="C567">
        <v>0.32900000000000001</v>
      </c>
      <c r="D567">
        <v>20</v>
      </c>
      <c r="E567" t="s">
        <v>865</v>
      </c>
      <c r="F567">
        <v>49.054662999999998</v>
      </c>
      <c r="G567">
        <v>22.412082000000002</v>
      </c>
      <c r="H567" s="1">
        <v>45390</v>
      </c>
      <c r="I567" s="1" t="str">
        <f t="shared" si="8"/>
        <v>April</v>
      </c>
      <c r="J567" t="s">
        <v>10</v>
      </c>
    </row>
    <row r="568" spans="1:10" hidden="1" x14ac:dyDescent="0.35">
      <c r="A568" t="s">
        <v>868</v>
      </c>
      <c r="B568" t="s">
        <v>9</v>
      </c>
      <c r="C568">
        <v>0.33</v>
      </c>
      <c r="D568">
        <v>21</v>
      </c>
      <c r="E568" t="s">
        <v>866</v>
      </c>
      <c r="F568">
        <v>49.055275000000002</v>
      </c>
      <c r="G568">
        <v>22.414210000000001</v>
      </c>
      <c r="H568" s="1">
        <v>45390</v>
      </c>
      <c r="I568" s="1" t="str">
        <f t="shared" si="8"/>
        <v>April</v>
      </c>
      <c r="J568" t="s">
        <v>10</v>
      </c>
    </row>
    <row r="569" spans="1:10" x14ac:dyDescent="0.35">
      <c r="A569" t="s">
        <v>868</v>
      </c>
      <c r="B569" t="s">
        <v>9</v>
      </c>
      <c r="C569">
        <v>0.27100000000000002</v>
      </c>
      <c r="D569">
        <v>23</v>
      </c>
      <c r="E569" t="s">
        <v>865</v>
      </c>
      <c r="F569">
        <v>49.052914000000001</v>
      </c>
      <c r="G569">
        <v>22.422989999999999</v>
      </c>
      <c r="H569" s="1">
        <v>45390</v>
      </c>
      <c r="I569" s="1" t="str">
        <f t="shared" si="8"/>
        <v>April</v>
      </c>
      <c r="J569" t="s">
        <v>10</v>
      </c>
    </row>
    <row r="570" spans="1:10" hidden="1" x14ac:dyDescent="0.35">
      <c r="A570" t="s">
        <v>868</v>
      </c>
      <c r="B570" t="s">
        <v>9</v>
      </c>
      <c r="C570">
        <v>0.29799999999999999</v>
      </c>
      <c r="D570">
        <v>18</v>
      </c>
      <c r="E570" t="s">
        <v>866</v>
      </c>
      <c r="F570">
        <v>49.055453</v>
      </c>
      <c r="G570">
        <v>22.423535999999999</v>
      </c>
      <c r="H570" s="1">
        <v>45390</v>
      </c>
      <c r="I570" s="1" t="str">
        <f t="shared" si="8"/>
        <v>April</v>
      </c>
      <c r="J570" t="s">
        <v>10</v>
      </c>
    </row>
    <row r="571" spans="1:10" x14ac:dyDescent="0.35">
      <c r="A571" t="s">
        <v>868</v>
      </c>
      <c r="B571" t="s">
        <v>9</v>
      </c>
      <c r="C571">
        <v>0.28100000000000003</v>
      </c>
      <c r="D571">
        <v>23</v>
      </c>
      <c r="E571" t="s">
        <v>865</v>
      </c>
      <c r="F571">
        <v>49.056583000000003</v>
      </c>
      <c r="G571">
        <v>22.415431999999999</v>
      </c>
      <c r="H571" s="1">
        <v>45390</v>
      </c>
      <c r="I571" s="1" t="str">
        <f t="shared" si="8"/>
        <v>April</v>
      </c>
      <c r="J571" t="s">
        <v>10</v>
      </c>
    </row>
    <row r="572" spans="1:10" hidden="1" x14ac:dyDescent="0.35">
      <c r="A572" t="s">
        <v>868</v>
      </c>
      <c r="B572" t="s">
        <v>9</v>
      </c>
      <c r="C572">
        <v>0.316</v>
      </c>
      <c r="D572">
        <v>22</v>
      </c>
      <c r="E572" t="s">
        <v>866</v>
      </c>
      <c r="F572">
        <v>49.054586</v>
      </c>
      <c r="G572">
        <v>22.413679999999999</v>
      </c>
      <c r="H572" s="1">
        <v>45390</v>
      </c>
      <c r="I572" s="1" t="str">
        <f t="shared" si="8"/>
        <v>April</v>
      </c>
      <c r="J572" t="s">
        <v>10</v>
      </c>
    </row>
    <row r="573" spans="1:10" x14ac:dyDescent="0.35">
      <c r="A573" t="s">
        <v>868</v>
      </c>
      <c r="B573" t="s">
        <v>9</v>
      </c>
      <c r="C573">
        <v>0.26500000000000001</v>
      </c>
      <c r="D573">
        <v>18</v>
      </c>
      <c r="E573" t="s">
        <v>865</v>
      </c>
      <c r="F573">
        <v>49.056946000000003</v>
      </c>
      <c r="G573">
        <v>22.424916</v>
      </c>
      <c r="H573" s="1">
        <v>45390</v>
      </c>
      <c r="I573" s="1" t="str">
        <f t="shared" si="8"/>
        <v>April</v>
      </c>
      <c r="J573" t="s">
        <v>10</v>
      </c>
    </row>
    <row r="574" spans="1:10" x14ac:dyDescent="0.35">
      <c r="A574" t="s">
        <v>868</v>
      </c>
      <c r="B574" t="s">
        <v>4</v>
      </c>
      <c r="C574">
        <v>0.29599999999999999</v>
      </c>
      <c r="D574">
        <v>22</v>
      </c>
      <c r="E574" t="s">
        <v>865</v>
      </c>
      <c r="F574">
        <v>50.041497</v>
      </c>
      <c r="G574">
        <v>19.950657</v>
      </c>
      <c r="H574" s="1">
        <v>45391</v>
      </c>
      <c r="I574" s="1" t="str">
        <f t="shared" si="8"/>
        <v>April</v>
      </c>
      <c r="J574" t="s">
        <v>5</v>
      </c>
    </row>
    <row r="575" spans="1:10" hidden="1" x14ac:dyDescent="0.35">
      <c r="A575" t="s">
        <v>868</v>
      </c>
      <c r="B575" t="s">
        <v>6</v>
      </c>
      <c r="C575">
        <v>0.25700000000000001</v>
      </c>
      <c r="D575">
        <v>20</v>
      </c>
      <c r="E575" t="s">
        <v>866</v>
      </c>
      <c r="F575">
        <v>47.509374999999999</v>
      </c>
      <c r="G575">
        <v>18.939807999999999</v>
      </c>
      <c r="H575" s="1">
        <v>45391</v>
      </c>
      <c r="I575" s="1" t="str">
        <f t="shared" ref="I575:I638" si="9">IF(H575="","",TEXT(H575,"MMMM"))</f>
        <v>April</v>
      </c>
      <c r="J575" t="s">
        <v>5</v>
      </c>
    </row>
    <row r="576" spans="1:10" x14ac:dyDescent="0.35">
      <c r="A576" t="s">
        <v>868</v>
      </c>
      <c r="B576" t="s">
        <v>11</v>
      </c>
      <c r="C576">
        <v>0.313</v>
      </c>
      <c r="D576">
        <v>21</v>
      </c>
      <c r="E576" t="s">
        <v>865</v>
      </c>
      <c r="F576">
        <v>49.937424999999998</v>
      </c>
      <c r="G576">
        <v>14.182722999999999</v>
      </c>
      <c r="H576" s="1">
        <v>45391</v>
      </c>
      <c r="I576" s="1" t="str">
        <f t="shared" si="9"/>
        <v>April</v>
      </c>
      <c r="J576" t="s">
        <v>10</v>
      </c>
    </row>
    <row r="577" spans="1:10" hidden="1" x14ac:dyDescent="0.35">
      <c r="A577" t="s">
        <v>868</v>
      </c>
      <c r="B577" t="s">
        <v>11</v>
      </c>
      <c r="C577">
        <v>0.28199999999999997</v>
      </c>
      <c r="D577">
        <v>19</v>
      </c>
      <c r="E577" t="s">
        <v>866</v>
      </c>
      <c r="F577">
        <v>49.939072000000003</v>
      </c>
      <c r="G577">
        <v>14.180063000000001</v>
      </c>
      <c r="H577" s="1">
        <v>45391</v>
      </c>
      <c r="I577" s="1" t="str">
        <f t="shared" si="9"/>
        <v>April</v>
      </c>
      <c r="J577" t="s">
        <v>10</v>
      </c>
    </row>
    <row r="578" spans="1:10" hidden="1" x14ac:dyDescent="0.35">
      <c r="A578" t="s">
        <v>864</v>
      </c>
      <c r="B578" t="s">
        <v>4</v>
      </c>
      <c r="C578">
        <v>486</v>
      </c>
      <c r="D578">
        <v>235</v>
      </c>
      <c r="E578" t="s">
        <v>866</v>
      </c>
      <c r="F578">
        <v>52.809086000000001</v>
      </c>
      <c r="G578">
        <v>23.696425000000001</v>
      </c>
      <c r="H578" s="1">
        <v>45392</v>
      </c>
      <c r="I578" s="1" t="str">
        <f t="shared" si="9"/>
        <v>April</v>
      </c>
      <c r="J578" t="s">
        <v>5</v>
      </c>
    </row>
    <row r="579" spans="1:10" x14ac:dyDescent="0.35">
      <c r="A579" t="s">
        <v>867</v>
      </c>
      <c r="B579" t="s">
        <v>4</v>
      </c>
      <c r="C579">
        <v>22</v>
      </c>
      <c r="D579">
        <v>78</v>
      </c>
      <c r="E579" t="s">
        <v>865</v>
      </c>
      <c r="F579">
        <v>52.821624999999997</v>
      </c>
      <c r="G579">
        <v>23.818062999999999</v>
      </c>
      <c r="H579" s="1">
        <v>45392</v>
      </c>
      <c r="I579" s="1" t="str">
        <f t="shared" si="9"/>
        <v>April</v>
      </c>
      <c r="J579" t="s">
        <v>5</v>
      </c>
    </row>
    <row r="580" spans="1:10" x14ac:dyDescent="0.35">
      <c r="A580" t="s">
        <v>869</v>
      </c>
      <c r="B580" t="s">
        <v>9</v>
      </c>
      <c r="C580">
        <v>1.2</v>
      </c>
      <c r="D580">
        <v>26</v>
      </c>
      <c r="E580" t="s">
        <v>865</v>
      </c>
      <c r="F580">
        <v>48.409469000000001</v>
      </c>
      <c r="G580">
        <v>18.861715</v>
      </c>
      <c r="H580" s="1">
        <v>45392</v>
      </c>
      <c r="I580" s="1" t="str">
        <f t="shared" si="9"/>
        <v>April</v>
      </c>
      <c r="J580" t="s">
        <v>10</v>
      </c>
    </row>
    <row r="581" spans="1:10" x14ac:dyDescent="0.35">
      <c r="A581" t="s">
        <v>868</v>
      </c>
      <c r="B581" t="s">
        <v>11</v>
      </c>
      <c r="C581">
        <v>0.25700000000000001</v>
      </c>
      <c r="D581">
        <v>21</v>
      </c>
      <c r="E581" t="s">
        <v>865</v>
      </c>
      <c r="F581">
        <v>50.107146999999998</v>
      </c>
      <c r="G581">
        <v>14.347009</v>
      </c>
      <c r="H581" s="1">
        <v>45392</v>
      </c>
      <c r="I581" s="1" t="str">
        <f t="shared" si="9"/>
        <v>April</v>
      </c>
      <c r="J581" t="s">
        <v>10</v>
      </c>
    </row>
    <row r="582" spans="1:10" hidden="1" x14ac:dyDescent="0.35">
      <c r="A582" t="s">
        <v>864</v>
      </c>
      <c r="B582" t="s">
        <v>4</v>
      </c>
      <c r="C582">
        <v>610</v>
      </c>
      <c r="D582">
        <v>281</v>
      </c>
      <c r="E582" t="s">
        <v>866</v>
      </c>
      <c r="F582">
        <v>52.810988999999999</v>
      </c>
      <c r="G582">
        <v>23.689136999999999</v>
      </c>
      <c r="H582" s="1">
        <v>45393</v>
      </c>
      <c r="I582" s="1" t="str">
        <f t="shared" si="9"/>
        <v>April</v>
      </c>
      <c r="J582" t="s">
        <v>5</v>
      </c>
    </row>
    <row r="583" spans="1:10" hidden="1" x14ac:dyDescent="0.35">
      <c r="A583" t="s">
        <v>869</v>
      </c>
      <c r="B583" t="s">
        <v>6</v>
      </c>
      <c r="C583">
        <v>0.8</v>
      </c>
      <c r="D583">
        <v>17</v>
      </c>
      <c r="E583" t="s">
        <v>866</v>
      </c>
      <c r="F583">
        <v>47.507080999999999</v>
      </c>
      <c r="G583">
        <v>18.939062</v>
      </c>
      <c r="H583" s="1">
        <v>45393</v>
      </c>
      <c r="I583" s="1" t="str">
        <f t="shared" si="9"/>
        <v>April</v>
      </c>
      <c r="J583" t="s">
        <v>5</v>
      </c>
    </row>
    <row r="584" spans="1:10" hidden="1" x14ac:dyDescent="0.35">
      <c r="A584" t="s">
        <v>868</v>
      </c>
      <c r="B584" t="s">
        <v>4</v>
      </c>
      <c r="C584">
        <v>0.32500000000000001</v>
      </c>
      <c r="D584">
        <v>20</v>
      </c>
      <c r="E584" t="s">
        <v>866</v>
      </c>
      <c r="F584">
        <v>50.041347000000002</v>
      </c>
      <c r="G584">
        <v>19.950773000000002</v>
      </c>
      <c r="H584" s="1">
        <v>45393</v>
      </c>
      <c r="I584" s="1" t="str">
        <f t="shared" si="9"/>
        <v>April</v>
      </c>
      <c r="J584" t="s">
        <v>5</v>
      </c>
    </row>
    <row r="585" spans="1:10" hidden="1" x14ac:dyDescent="0.35">
      <c r="A585" t="s">
        <v>868</v>
      </c>
      <c r="B585" t="s">
        <v>6</v>
      </c>
      <c r="C585">
        <v>0.27500000000000002</v>
      </c>
      <c r="D585">
        <v>21</v>
      </c>
      <c r="E585" t="s">
        <v>866</v>
      </c>
      <c r="F585">
        <v>47.506070999999999</v>
      </c>
      <c r="G585">
        <v>18.949311000000002</v>
      </c>
      <c r="H585" s="1">
        <v>45393</v>
      </c>
      <c r="I585" s="1" t="str">
        <f t="shared" si="9"/>
        <v>April</v>
      </c>
      <c r="J585" t="s">
        <v>5</v>
      </c>
    </row>
    <row r="586" spans="1:10" x14ac:dyDescent="0.35">
      <c r="A586" t="s">
        <v>868</v>
      </c>
      <c r="B586" t="s">
        <v>6</v>
      </c>
      <c r="C586">
        <v>0.28499999999999998</v>
      </c>
      <c r="D586">
        <v>20</v>
      </c>
      <c r="E586" t="s">
        <v>865</v>
      </c>
      <c r="F586">
        <v>47.509655000000002</v>
      </c>
      <c r="G586">
        <v>18.943576</v>
      </c>
      <c r="H586" s="1">
        <v>45393</v>
      </c>
      <c r="I586" s="1" t="str">
        <f t="shared" si="9"/>
        <v>April</v>
      </c>
      <c r="J586" t="s">
        <v>5</v>
      </c>
    </row>
    <row r="587" spans="1:10" x14ac:dyDescent="0.35">
      <c r="A587" t="s">
        <v>868</v>
      </c>
      <c r="B587" t="s">
        <v>870</v>
      </c>
      <c r="C587">
        <v>0.31</v>
      </c>
      <c r="D587">
        <v>23</v>
      </c>
      <c r="E587" t="s">
        <v>865</v>
      </c>
      <c r="F587">
        <v>47.856091999999997</v>
      </c>
      <c r="G587">
        <v>15.083546999999999</v>
      </c>
      <c r="H587" s="1">
        <v>45393</v>
      </c>
      <c r="I587" s="1" t="str">
        <f t="shared" si="9"/>
        <v>April</v>
      </c>
      <c r="J587" t="s">
        <v>8</v>
      </c>
    </row>
    <row r="588" spans="1:10" x14ac:dyDescent="0.35">
      <c r="A588" t="s">
        <v>868</v>
      </c>
      <c r="B588" t="s">
        <v>12</v>
      </c>
      <c r="C588">
        <v>0.25600000000000001</v>
      </c>
      <c r="D588">
        <v>19</v>
      </c>
      <c r="E588" t="s">
        <v>865</v>
      </c>
      <c r="F588">
        <v>47.854875999999997</v>
      </c>
      <c r="G588">
        <v>15.08295</v>
      </c>
      <c r="H588" s="1">
        <v>45393</v>
      </c>
      <c r="I588" s="1" t="str">
        <f t="shared" si="9"/>
        <v>April</v>
      </c>
      <c r="J588" t="s">
        <v>8</v>
      </c>
    </row>
    <row r="589" spans="1:10" x14ac:dyDescent="0.35">
      <c r="A589" t="s">
        <v>868</v>
      </c>
      <c r="B589" t="s">
        <v>12</v>
      </c>
      <c r="C589">
        <v>0.28499999999999998</v>
      </c>
      <c r="D589">
        <v>23</v>
      </c>
      <c r="E589" t="s">
        <v>865</v>
      </c>
      <c r="F589">
        <v>47.857534999999999</v>
      </c>
      <c r="G589">
        <v>15.078082999999999</v>
      </c>
      <c r="H589" s="1">
        <v>45393</v>
      </c>
      <c r="I589" s="1" t="str">
        <f t="shared" si="9"/>
        <v>April</v>
      </c>
      <c r="J589" t="s">
        <v>8</v>
      </c>
    </row>
    <row r="590" spans="1:10" hidden="1" x14ac:dyDescent="0.35">
      <c r="A590" t="s">
        <v>868</v>
      </c>
      <c r="B590" t="s">
        <v>7</v>
      </c>
      <c r="C590">
        <v>0.30299999999999999</v>
      </c>
      <c r="D590">
        <v>19</v>
      </c>
      <c r="E590" t="s">
        <v>866</v>
      </c>
      <c r="F590">
        <v>48.162436999999997</v>
      </c>
      <c r="G590">
        <v>11.494298000000001</v>
      </c>
      <c r="H590" s="1">
        <v>45393</v>
      </c>
      <c r="I590" s="1" t="str">
        <f t="shared" si="9"/>
        <v>April</v>
      </c>
      <c r="J590" t="s">
        <v>8</v>
      </c>
    </row>
    <row r="591" spans="1:10" x14ac:dyDescent="0.35">
      <c r="A591" t="s">
        <v>868</v>
      </c>
      <c r="B591" t="s">
        <v>7</v>
      </c>
      <c r="C591">
        <v>0.27300000000000002</v>
      </c>
      <c r="D591">
        <v>19</v>
      </c>
      <c r="E591" t="s">
        <v>865</v>
      </c>
      <c r="F591">
        <v>48.161105999999997</v>
      </c>
      <c r="G591">
        <v>11.48991</v>
      </c>
      <c r="H591" s="1">
        <v>45393</v>
      </c>
      <c r="I591" s="1" t="str">
        <f t="shared" si="9"/>
        <v>April</v>
      </c>
      <c r="J591" t="s">
        <v>8</v>
      </c>
    </row>
    <row r="592" spans="1:10" hidden="1" x14ac:dyDescent="0.35">
      <c r="A592" t="s">
        <v>868</v>
      </c>
      <c r="B592" t="s">
        <v>7</v>
      </c>
      <c r="C592">
        <v>0.26700000000000002</v>
      </c>
      <c r="D592">
        <v>22</v>
      </c>
      <c r="E592" t="s">
        <v>866</v>
      </c>
      <c r="F592">
        <v>48.161385000000003</v>
      </c>
      <c r="G592">
        <v>11.492571</v>
      </c>
      <c r="H592" s="1">
        <v>45393</v>
      </c>
      <c r="I592" s="1" t="str">
        <f t="shared" si="9"/>
        <v>April</v>
      </c>
      <c r="J592" t="s">
        <v>8</v>
      </c>
    </row>
    <row r="593" spans="1:10" hidden="1" x14ac:dyDescent="0.35">
      <c r="A593" t="s">
        <v>868</v>
      </c>
      <c r="B593" t="s">
        <v>7</v>
      </c>
      <c r="C593">
        <v>0.25800000000000001</v>
      </c>
      <c r="D593">
        <v>20</v>
      </c>
      <c r="E593" t="s">
        <v>866</v>
      </c>
      <c r="F593">
        <v>48.162137000000001</v>
      </c>
      <c r="G593">
        <v>11.494415</v>
      </c>
      <c r="H593" s="1">
        <v>45393</v>
      </c>
      <c r="I593" s="1" t="str">
        <f t="shared" si="9"/>
        <v>April</v>
      </c>
      <c r="J593" t="s">
        <v>8</v>
      </c>
    </row>
    <row r="594" spans="1:10" x14ac:dyDescent="0.35">
      <c r="A594" t="s">
        <v>868</v>
      </c>
      <c r="B594" t="s">
        <v>7</v>
      </c>
      <c r="C594">
        <v>0.29599999999999999</v>
      </c>
      <c r="D594">
        <v>18</v>
      </c>
      <c r="E594" t="s">
        <v>865</v>
      </c>
      <c r="F594">
        <v>48.162162000000002</v>
      </c>
      <c r="G594">
        <v>11.493917</v>
      </c>
      <c r="H594" s="1">
        <v>45393</v>
      </c>
      <c r="I594" s="1" t="str">
        <f t="shared" si="9"/>
        <v>April</v>
      </c>
      <c r="J594" t="s">
        <v>8</v>
      </c>
    </row>
    <row r="595" spans="1:10" x14ac:dyDescent="0.35">
      <c r="A595" t="s">
        <v>867</v>
      </c>
      <c r="B595" t="s">
        <v>9</v>
      </c>
      <c r="C595">
        <v>22</v>
      </c>
      <c r="D595">
        <v>88</v>
      </c>
      <c r="E595" t="s">
        <v>865</v>
      </c>
      <c r="F595">
        <v>48.408549999999998</v>
      </c>
      <c r="G595">
        <v>18.864934999999999</v>
      </c>
      <c r="H595" s="1">
        <v>45393</v>
      </c>
      <c r="I595" s="1" t="str">
        <f t="shared" si="9"/>
        <v>April</v>
      </c>
      <c r="J595" t="s">
        <v>10</v>
      </c>
    </row>
    <row r="596" spans="1:10" hidden="1" x14ac:dyDescent="0.35">
      <c r="A596" t="s">
        <v>868</v>
      </c>
      <c r="B596" t="s">
        <v>11</v>
      </c>
      <c r="C596">
        <v>0.308</v>
      </c>
      <c r="D596">
        <v>22</v>
      </c>
      <c r="E596" t="s">
        <v>866</v>
      </c>
      <c r="F596">
        <v>50.106721</v>
      </c>
      <c r="G596">
        <v>14.346231</v>
      </c>
      <c r="H596" s="1">
        <v>45393</v>
      </c>
      <c r="I596" s="1" t="str">
        <f t="shared" si="9"/>
        <v>April</v>
      </c>
      <c r="J596" t="s">
        <v>10</v>
      </c>
    </row>
    <row r="597" spans="1:10" x14ac:dyDescent="0.35">
      <c r="A597" t="s">
        <v>864</v>
      </c>
      <c r="B597" t="s">
        <v>4</v>
      </c>
      <c r="C597">
        <v>853</v>
      </c>
      <c r="D597">
        <v>287</v>
      </c>
      <c r="E597" t="s">
        <v>865</v>
      </c>
      <c r="F597">
        <v>52.803559999999997</v>
      </c>
      <c r="G597">
        <v>23.690377999999999</v>
      </c>
      <c r="H597" s="1">
        <v>45394</v>
      </c>
      <c r="I597" s="1" t="str">
        <f t="shared" si="9"/>
        <v>April</v>
      </c>
      <c r="J597" t="s">
        <v>5</v>
      </c>
    </row>
    <row r="598" spans="1:10" hidden="1" x14ac:dyDescent="0.35">
      <c r="A598" t="s">
        <v>868</v>
      </c>
      <c r="B598" t="s">
        <v>7</v>
      </c>
      <c r="C598">
        <v>0.30199999999999999</v>
      </c>
      <c r="D598">
        <v>18</v>
      </c>
      <c r="E598" t="s">
        <v>866</v>
      </c>
      <c r="F598">
        <v>48.160992</v>
      </c>
      <c r="G598">
        <v>11.495374</v>
      </c>
      <c r="H598" s="1">
        <v>45394</v>
      </c>
      <c r="I598" s="1" t="str">
        <f t="shared" si="9"/>
        <v>April</v>
      </c>
      <c r="J598" t="s">
        <v>8</v>
      </c>
    </row>
    <row r="599" spans="1:10" hidden="1" x14ac:dyDescent="0.35">
      <c r="A599" t="s">
        <v>869</v>
      </c>
      <c r="B599" t="s">
        <v>9</v>
      </c>
      <c r="C599">
        <v>1</v>
      </c>
      <c r="D599">
        <v>20</v>
      </c>
      <c r="E599" t="s">
        <v>866</v>
      </c>
      <c r="F599">
        <v>48.408712999999999</v>
      </c>
      <c r="G599">
        <v>18.863828999999999</v>
      </c>
      <c r="H599" s="1">
        <v>45394</v>
      </c>
      <c r="I599" s="1" t="str">
        <f t="shared" si="9"/>
        <v>April</v>
      </c>
      <c r="J599" t="s">
        <v>10</v>
      </c>
    </row>
    <row r="600" spans="1:10" hidden="1" x14ac:dyDescent="0.35">
      <c r="A600" t="s">
        <v>868</v>
      </c>
      <c r="B600" t="s">
        <v>11</v>
      </c>
      <c r="C600">
        <v>0.32500000000000001</v>
      </c>
      <c r="D600">
        <v>21</v>
      </c>
      <c r="E600" t="s">
        <v>866</v>
      </c>
      <c r="F600">
        <v>50.106482999999997</v>
      </c>
      <c r="G600">
        <v>14.348191999999999</v>
      </c>
      <c r="H600" s="1">
        <v>45394</v>
      </c>
      <c r="I600" s="1" t="str">
        <f t="shared" si="9"/>
        <v>April</v>
      </c>
      <c r="J600" t="s">
        <v>10</v>
      </c>
    </row>
    <row r="601" spans="1:10" x14ac:dyDescent="0.35">
      <c r="A601" t="s">
        <v>869</v>
      </c>
      <c r="B601" t="s">
        <v>6</v>
      </c>
      <c r="C601">
        <v>1.2</v>
      </c>
      <c r="D601">
        <v>23</v>
      </c>
      <c r="E601" t="s">
        <v>865</v>
      </c>
      <c r="F601">
        <v>47.511266999999997</v>
      </c>
      <c r="G601">
        <v>18.940190999999999</v>
      </c>
      <c r="H601" s="1">
        <v>45395</v>
      </c>
      <c r="I601" s="1" t="str">
        <f t="shared" si="9"/>
        <v>April</v>
      </c>
      <c r="J601" t="s">
        <v>5</v>
      </c>
    </row>
    <row r="602" spans="1:10" x14ac:dyDescent="0.35">
      <c r="A602" t="s">
        <v>868</v>
      </c>
      <c r="B602" t="s">
        <v>4</v>
      </c>
      <c r="C602">
        <v>0.26400000000000001</v>
      </c>
      <c r="D602">
        <v>20</v>
      </c>
      <c r="E602" t="s">
        <v>865</v>
      </c>
      <c r="F602">
        <v>50.041365999999996</v>
      </c>
      <c r="G602">
        <v>19.949936000000001</v>
      </c>
      <c r="H602" s="1">
        <v>45395</v>
      </c>
      <c r="I602" s="1" t="str">
        <f t="shared" si="9"/>
        <v>April</v>
      </c>
      <c r="J602" t="s">
        <v>5</v>
      </c>
    </row>
    <row r="603" spans="1:10" x14ac:dyDescent="0.35">
      <c r="A603" t="s">
        <v>868</v>
      </c>
      <c r="B603" t="s">
        <v>4</v>
      </c>
      <c r="C603">
        <v>0.32800000000000001</v>
      </c>
      <c r="D603">
        <v>20</v>
      </c>
      <c r="E603" t="s">
        <v>865</v>
      </c>
      <c r="F603">
        <v>50.041573</v>
      </c>
      <c r="G603">
        <v>19.949850000000001</v>
      </c>
      <c r="H603" s="1">
        <v>45395</v>
      </c>
      <c r="I603" s="1" t="str">
        <f t="shared" si="9"/>
        <v>April</v>
      </c>
      <c r="J603" t="s">
        <v>5</v>
      </c>
    </row>
    <row r="604" spans="1:10" hidden="1" x14ac:dyDescent="0.35">
      <c r="A604" t="s">
        <v>868</v>
      </c>
      <c r="B604" t="s">
        <v>4</v>
      </c>
      <c r="C604">
        <v>0.32</v>
      </c>
      <c r="D604">
        <v>23</v>
      </c>
      <c r="E604" t="s">
        <v>866</v>
      </c>
      <c r="F604">
        <v>50.041553999999998</v>
      </c>
      <c r="G604">
        <v>19.951129999999999</v>
      </c>
      <c r="H604" s="1">
        <v>45395</v>
      </c>
      <c r="I604" s="1" t="str">
        <f t="shared" si="9"/>
        <v>April</v>
      </c>
      <c r="J604" t="s">
        <v>5</v>
      </c>
    </row>
    <row r="605" spans="1:10" x14ac:dyDescent="0.35">
      <c r="A605" t="s">
        <v>868</v>
      </c>
      <c r="B605" t="s">
        <v>4</v>
      </c>
      <c r="C605">
        <v>0.29799999999999999</v>
      </c>
      <c r="D605">
        <v>23</v>
      </c>
      <c r="E605" t="s">
        <v>865</v>
      </c>
      <c r="F605">
        <v>52.211967000000001</v>
      </c>
      <c r="G605">
        <v>21.032924000000001</v>
      </c>
      <c r="H605" s="1">
        <v>45395</v>
      </c>
      <c r="I605" s="1" t="str">
        <f t="shared" si="9"/>
        <v>April</v>
      </c>
      <c r="J605" t="s">
        <v>5</v>
      </c>
    </row>
    <row r="606" spans="1:10" x14ac:dyDescent="0.35">
      <c r="A606" t="s">
        <v>869</v>
      </c>
      <c r="B606" t="s">
        <v>9</v>
      </c>
      <c r="C606">
        <v>0.8</v>
      </c>
      <c r="D606">
        <v>23</v>
      </c>
      <c r="E606" t="s">
        <v>865</v>
      </c>
      <c r="F606">
        <v>48.412843000000002</v>
      </c>
      <c r="G606">
        <v>18.872613999999999</v>
      </c>
      <c r="H606" s="1">
        <v>45395</v>
      </c>
      <c r="I606" s="1" t="str">
        <f t="shared" si="9"/>
        <v>April</v>
      </c>
      <c r="J606" t="s">
        <v>10</v>
      </c>
    </row>
    <row r="607" spans="1:10" x14ac:dyDescent="0.35">
      <c r="A607" t="s">
        <v>869</v>
      </c>
      <c r="B607" t="s">
        <v>9</v>
      </c>
      <c r="C607">
        <v>0.8</v>
      </c>
      <c r="D607">
        <v>16</v>
      </c>
      <c r="E607" t="s">
        <v>865</v>
      </c>
      <c r="F607">
        <v>48.407138000000003</v>
      </c>
      <c r="G607">
        <v>18.867246999999999</v>
      </c>
      <c r="H607" s="1">
        <v>45395</v>
      </c>
      <c r="I607" s="1" t="str">
        <f t="shared" si="9"/>
        <v>April</v>
      </c>
      <c r="J607" t="s">
        <v>10</v>
      </c>
    </row>
    <row r="608" spans="1:10" hidden="1" x14ac:dyDescent="0.35">
      <c r="A608" t="s">
        <v>869</v>
      </c>
      <c r="B608" t="s">
        <v>6</v>
      </c>
      <c r="C608">
        <v>0.4</v>
      </c>
      <c r="D608">
        <v>17</v>
      </c>
      <c r="E608" t="s">
        <v>866</v>
      </c>
      <c r="F608">
        <v>47.509261000000002</v>
      </c>
      <c r="G608">
        <v>18.949967000000001</v>
      </c>
      <c r="H608" s="1">
        <v>45396</v>
      </c>
      <c r="I608" s="1" t="str">
        <f t="shared" si="9"/>
        <v>April</v>
      </c>
      <c r="J608" t="s">
        <v>5</v>
      </c>
    </row>
    <row r="609" spans="1:10" hidden="1" x14ac:dyDescent="0.35">
      <c r="A609" t="s">
        <v>867</v>
      </c>
      <c r="B609" t="s">
        <v>4</v>
      </c>
      <c r="C609">
        <v>20</v>
      </c>
      <c r="D609">
        <v>90</v>
      </c>
      <c r="E609" t="s">
        <v>866</v>
      </c>
      <c r="F609">
        <v>52.824607999999998</v>
      </c>
      <c r="G609">
        <v>23.817395999999999</v>
      </c>
      <c r="H609" s="1">
        <v>45396</v>
      </c>
      <c r="I609" s="1" t="str">
        <f t="shared" si="9"/>
        <v>April</v>
      </c>
      <c r="J609" t="s">
        <v>5</v>
      </c>
    </row>
    <row r="610" spans="1:10" x14ac:dyDescent="0.35">
      <c r="A610" t="s">
        <v>868</v>
      </c>
      <c r="B610" t="s">
        <v>6</v>
      </c>
      <c r="C610">
        <v>0.29699999999999999</v>
      </c>
      <c r="D610">
        <v>18</v>
      </c>
      <c r="E610" t="s">
        <v>865</v>
      </c>
      <c r="F610">
        <v>47.506306000000002</v>
      </c>
      <c r="G610">
        <v>18.946099</v>
      </c>
      <c r="H610" s="1">
        <v>45396</v>
      </c>
      <c r="I610" s="1" t="str">
        <f t="shared" si="9"/>
        <v>April</v>
      </c>
      <c r="J610" t="s">
        <v>5</v>
      </c>
    </row>
    <row r="611" spans="1:10" hidden="1" x14ac:dyDescent="0.35">
      <c r="A611" t="s">
        <v>868</v>
      </c>
      <c r="B611" t="s">
        <v>6</v>
      </c>
      <c r="C611">
        <v>0.308</v>
      </c>
      <c r="D611">
        <v>20</v>
      </c>
      <c r="E611" t="s">
        <v>866</v>
      </c>
      <c r="F611">
        <v>47.510067999999997</v>
      </c>
      <c r="G611">
        <v>18.947175999999999</v>
      </c>
      <c r="H611" s="1">
        <v>45396</v>
      </c>
      <c r="I611" s="1" t="str">
        <f t="shared" si="9"/>
        <v>April</v>
      </c>
      <c r="J611" t="s">
        <v>5</v>
      </c>
    </row>
    <row r="612" spans="1:10" x14ac:dyDescent="0.35">
      <c r="A612" t="s">
        <v>868</v>
      </c>
      <c r="B612" t="s">
        <v>6</v>
      </c>
      <c r="C612">
        <v>0.26800000000000002</v>
      </c>
      <c r="D612">
        <v>19</v>
      </c>
      <c r="E612" t="s">
        <v>865</v>
      </c>
      <c r="F612">
        <v>47.511060000000001</v>
      </c>
      <c r="G612">
        <v>18.939831999999999</v>
      </c>
      <c r="H612" s="1">
        <v>45396</v>
      </c>
      <c r="I612" s="1" t="str">
        <f t="shared" si="9"/>
        <v>April</v>
      </c>
      <c r="J612" t="s">
        <v>5</v>
      </c>
    </row>
    <row r="613" spans="1:10" x14ac:dyDescent="0.35">
      <c r="A613" t="s">
        <v>868</v>
      </c>
      <c r="B613" t="s">
        <v>7</v>
      </c>
      <c r="C613">
        <v>0.25900000000000001</v>
      </c>
      <c r="D613">
        <v>22</v>
      </c>
      <c r="E613" t="s">
        <v>865</v>
      </c>
      <c r="F613">
        <v>48.160831000000002</v>
      </c>
      <c r="G613">
        <v>11.492402999999999</v>
      </c>
      <c r="H613" s="1">
        <v>45396</v>
      </c>
      <c r="I613" s="1" t="str">
        <f t="shared" si="9"/>
        <v>April</v>
      </c>
      <c r="J613" t="s">
        <v>8</v>
      </c>
    </row>
    <row r="614" spans="1:10" x14ac:dyDescent="0.35">
      <c r="A614" t="s">
        <v>864</v>
      </c>
      <c r="B614" t="s">
        <v>4</v>
      </c>
      <c r="C614">
        <v>700</v>
      </c>
      <c r="D614">
        <v>286</v>
      </c>
      <c r="E614" t="s">
        <v>865</v>
      </c>
      <c r="F614">
        <v>52.808503000000002</v>
      </c>
      <c r="G614">
        <v>23.699369999999998</v>
      </c>
      <c r="H614" s="1">
        <v>45397</v>
      </c>
      <c r="I614" s="1" t="str">
        <f t="shared" si="9"/>
        <v>April</v>
      </c>
      <c r="J614" t="s">
        <v>5</v>
      </c>
    </row>
    <row r="615" spans="1:10" x14ac:dyDescent="0.35">
      <c r="A615" t="s">
        <v>869</v>
      </c>
      <c r="B615" t="s">
        <v>6</v>
      </c>
      <c r="C615">
        <v>0.7</v>
      </c>
      <c r="D615">
        <v>15</v>
      </c>
      <c r="E615" t="s">
        <v>865</v>
      </c>
      <c r="F615">
        <v>47.511426999999998</v>
      </c>
      <c r="G615">
        <v>18.948713999999999</v>
      </c>
      <c r="H615" s="1">
        <v>45397</v>
      </c>
      <c r="I615" s="1" t="str">
        <f t="shared" si="9"/>
        <v>April</v>
      </c>
      <c r="J615" t="s">
        <v>5</v>
      </c>
    </row>
    <row r="616" spans="1:10" hidden="1" x14ac:dyDescent="0.35">
      <c r="A616" t="s">
        <v>868</v>
      </c>
      <c r="B616" t="s">
        <v>4</v>
      </c>
      <c r="C616">
        <v>0.27800000000000002</v>
      </c>
      <c r="D616">
        <v>21</v>
      </c>
      <c r="E616" t="s">
        <v>866</v>
      </c>
      <c r="F616">
        <v>52.211888000000002</v>
      </c>
      <c r="G616">
        <v>21.032350000000001</v>
      </c>
      <c r="H616" s="1">
        <v>45397</v>
      </c>
      <c r="I616" s="1" t="str">
        <f t="shared" si="9"/>
        <v>April</v>
      </c>
      <c r="J616" t="s">
        <v>5</v>
      </c>
    </row>
    <row r="617" spans="1:10" hidden="1" x14ac:dyDescent="0.35">
      <c r="A617" t="s">
        <v>868</v>
      </c>
      <c r="B617" t="s">
        <v>7</v>
      </c>
      <c r="C617">
        <v>0.33900000000000002</v>
      </c>
      <c r="D617">
        <v>19</v>
      </c>
      <c r="E617" t="s">
        <v>866</v>
      </c>
      <c r="F617">
        <v>48.161422000000002</v>
      </c>
      <c r="G617">
        <v>11.491813</v>
      </c>
      <c r="H617" s="1">
        <v>45397</v>
      </c>
      <c r="I617" s="1" t="str">
        <f t="shared" si="9"/>
        <v>April</v>
      </c>
      <c r="J617" t="s">
        <v>8</v>
      </c>
    </row>
    <row r="618" spans="1:10" x14ac:dyDescent="0.35">
      <c r="A618" t="s">
        <v>868</v>
      </c>
      <c r="B618" t="s">
        <v>7</v>
      </c>
      <c r="C618">
        <v>0.307</v>
      </c>
      <c r="D618">
        <v>22</v>
      </c>
      <c r="E618" t="s">
        <v>865</v>
      </c>
      <c r="F618">
        <v>48.160789999999999</v>
      </c>
      <c r="G618">
        <v>11.489549</v>
      </c>
      <c r="H618" s="1">
        <v>45397</v>
      </c>
      <c r="I618" s="1" t="str">
        <f t="shared" si="9"/>
        <v>April</v>
      </c>
      <c r="J618" t="s">
        <v>8</v>
      </c>
    </row>
    <row r="619" spans="1:10" hidden="1" x14ac:dyDescent="0.35">
      <c r="A619" t="s">
        <v>868</v>
      </c>
      <c r="B619" t="s">
        <v>7</v>
      </c>
      <c r="C619">
        <v>0.25600000000000001</v>
      </c>
      <c r="D619">
        <v>20</v>
      </c>
      <c r="E619" t="s">
        <v>866</v>
      </c>
      <c r="F619">
        <v>48.161009</v>
      </c>
      <c r="G619">
        <v>11.491557</v>
      </c>
      <c r="H619" s="1">
        <v>45397</v>
      </c>
      <c r="I619" s="1" t="str">
        <f t="shared" si="9"/>
        <v>April</v>
      </c>
      <c r="J619" t="s">
        <v>8</v>
      </c>
    </row>
    <row r="620" spans="1:10" x14ac:dyDescent="0.35">
      <c r="A620" t="s">
        <v>868</v>
      </c>
      <c r="B620" t="s">
        <v>7</v>
      </c>
      <c r="C620">
        <v>0.28999999999999998</v>
      </c>
      <c r="D620">
        <v>20</v>
      </c>
      <c r="E620" t="s">
        <v>865</v>
      </c>
      <c r="F620">
        <v>48.160806999999998</v>
      </c>
      <c r="G620">
        <v>11.494218999999999</v>
      </c>
      <c r="H620" s="1">
        <v>45397</v>
      </c>
      <c r="I620" s="1" t="str">
        <f t="shared" si="9"/>
        <v>April</v>
      </c>
      <c r="J620" t="s">
        <v>8</v>
      </c>
    </row>
    <row r="621" spans="1:10" hidden="1" x14ac:dyDescent="0.35">
      <c r="A621" t="s">
        <v>868</v>
      </c>
      <c r="B621" t="s">
        <v>7</v>
      </c>
      <c r="C621">
        <v>0.32300000000000001</v>
      </c>
      <c r="D621">
        <v>18</v>
      </c>
      <c r="E621" t="s">
        <v>866</v>
      </c>
      <c r="F621">
        <v>48.161794</v>
      </c>
      <c r="G621">
        <v>11.494325</v>
      </c>
      <c r="H621" s="1">
        <v>45397</v>
      </c>
      <c r="I621" s="1" t="str">
        <f t="shared" si="9"/>
        <v>April</v>
      </c>
      <c r="J621" t="s">
        <v>8</v>
      </c>
    </row>
    <row r="622" spans="1:10" x14ac:dyDescent="0.35">
      <c r="A622" t="s">
        <v>868</v>
      </c>
      <c r="B622" t="s">
        <v>7</v>
      </c>
      <c r="C622">
        <v>0.29299999999999998</v>
      </c>
      <c r="D622">
        <v>21</v>
      </c>
      <c r="E622" t="s">
        <v>865</v>
      </c>
      <c r="F622">
        <v>48.161068999999998</v>
      </c>
      <c r="G622">
        <v>11.493029999999999</v>
      </c>
      <c r="H622" s="1">
        <v>45397</v>
      </c>
      <c r="I622" s="1" t="str">
        <f t="shared" si="9"/>
        <v>April</v>
      </c>
      <c r="J622" t="s">
        <v>8</v>
      </c>
    </row>
    <row r="623" spans="1:10" hidden="1" x14ac:dyDescent="0.35">
      <c r="A623" t="s">
        <v>868</v>
      </c>
      <c r="B623" t="s">
        <v>7</v>
      </c>
      <c r="C623">
        <v>0.32600000000000001</v>
      </c>
      <c r="D623">
        <v>18</v>
      </c>
      <c r="E623" t="s">
        <v>866</v>
      </c>
      <c r="F623">
        <v>48.160870000000003</v>
      </c>
      <c r="G623">
        <v>11.490270000000001</v>
      </c>
      <c r="H623" s="1">
        <v>45397</v>
      </c>
      <c r="I623" s="1" t="str">
        <f t="shared" si="9"/>
        <v>April</v>
      </c>
      <c r="J623" t="s">
        <v>8</v>
      </c>
    </row>
    <row r="624" spans="1:10" hidden="1" x14ac:dyDescent="0.35">
      <c r="A624" t="s">
        <v>868</v>
      </c>
      <c r="B624" t="s">
        <v>7</v>
      </c>
      <c r="C624">
        <v>0.26600000000000001</v>
      </c>
      <c r="D624">
        <v>21</v>
      </c>
      <c r="E624" t="s">
        <v>866</v>
      </c>
      <c r="F624">
        <v>48.160559999999997</v>
      </c>
      <c r="G624">
        <v>11.490805999999999</v>
      </c>
      <c r="H624" s="1">
        <v>45397</v>
      </c>
      <c r="I624" s="1" t="str">
        <f t="shared" si="9"/>
        <v>April</v>
      </c>
      <c r="J624" t="s">
        <v>8</v>
      </c>
    </row>
    <row r="625" spans="1:10" hidden="1" x14ac:dyDescent="0.35">
      <c r="A625" t="s">
        <v>869</v>
      </c>
      <c r="B625" t="s">
        <v>9</v>
      </c>
      <c r="C625">
        <v>0.5</v>
      </c>
      <c r="D625">
        <v>18</v>
      </c>
      <c r="E625" t="s">
        <v>866</v>
      </c>
      <c r="F625">
        <v>48.409908999999999</v>
      </c>
      <c r="G625">
        <v>18.867006</v>
      </c>
      <c r="H625" s="1">
        <v>45397</v>
      </c>
      <c r="I625" s="1" t="str">
        <f t="shared" si="9"/>
        <v>April</v>
      </c>
      <c r="J625" t="s">
        <v>10</v>
      </c>
    </row>
    <row r="626" spans="1:10" x14ac:dyDescent="0.35">
      <c r="A626" t="s">
        <v>868</v>
      </c>
      <c r="B626" t="s">
        <v>11</v>
      </c>
      <c r="C626">
        <v>0.317</v>
      </c>
      <c r="D626">
        <v>19</v>
      </c>
      <c r="E626" t="s">
        <v>865</v>
      </c>
      <c r="F626">
        <v>50.106372999999998</v>
      </c>
      <c r="G626">
        <v>14.347574</v>
      </c>
      <c r="H626" s="1">
        <v>45397</v>
      </c>
      <c r="I626" s="1" t="str">
        <f t="shared" si="9"/>
        <v>April</v>
      </c>
      <c r="J626" t="s">
        <v>10</v>
      </c>
    </row>
    <row r="627" spans="1:10" hidden="1" x14ac:dyDescent="0.35">
      <c r="A627" t="s">
        <v>869</v>
      </c>
      <c r="B627" t="s">
        <v>6</v>
      </c>
      <c r="C627">
        <v>0.5</v>
      </c>
      <c r="D627">
        <v>19</v>
      </c>
      <c r="E627" t="s">
        <v>866</v>
      </c>
      <c r="F627">
        <v>47.506430000000002</v>
      </c>
      <c r="G627">
        <v>18.947911999999999</v>
      </c>
      <c r="H627" s="1">
        <v>45398</v>
      </c>
      <c r="I627" s="1" t="str">
        <f t="shared" si="9"/>
        <v>April</v>
      </c>
      <c r="J627" t="s">
        <v>5</v>
      </c>
    </row>
    <row r="628" spans="1:10" x14ac:dyDescent="0.35">
      <c r="A628" t="s">
        <v>869</v>
      </c>
      <c r="B628" t="s">
        <v>6</v>
      </c>
      <c r="C628">
        <v>0.6</v>
      </c>
      <c r="D628">
        <v>15</v>
      </c>
      <c r="E628" t="s">
        <v>865</v>
      </c>
      <c r="F628">
        <v>47.506663000000003</v>
      </c>
      <c r="G628">
        <v>18.94032</v>
      </c>
      <c r="H628" s="1">
        <v>45398</v>
      </c>
      <c r="I628" s="1" t="str">
        <f t="shared" si="9"/>
        <v>April</v>
      </c>
      <c r="J628" t="s">
        <v>5</v>
      </c>
    </row>
    <row r="629" spans="1:10" hidden="1" x14ac:dyDescent="0.35">
      <c r="A629" t="s">
        <v>868</v>
      </c>
      <c r="B629" t="s">
        <v>6</v>
      </c>
      <c r="C629">
        <v>0.254</v>
      </c>
      <c r="D629">
        <v>20</v>
      </c>
      <c r="E629" t="s">
        <v>866</v>
      </c>
      <c r="F629">
        <v>47.508169000000002</v>
      </c>
      <c r="G629">
        <v>18.947417999999999</v>
      </c>
      <c r="H629" s="1">
        <v>45398</v>
      </c>
      <c r="I629" s="1" t="str">
        <f t="shared" si="9"/>
        <v>April</v>
      </c>
      <c r="J629" t="s">
        <v>5</v>
      </c>
    </row>
    <row r="630" spans="1:10" x14ac:dyDescent="0.35">
      <c r="A630" t="s">
        <v>868</v>
      </c>
      <c r="B630" t="s">
        <v>7</v>
      </c>
      <c r="C630">
        <v>0.313</v>
      </c>
      <c r="D630">
        <v>19</v>
      </c>
      <c r="E630" t="s">
        <v>865</v>
      </c>
      <c r="F630">
        <v>48.161901999999998</v>
      </c>
      <c r="G630">
        <v>11.494579999999999</v>
      </c>
      <c r="H630" s="1">
        <v>45398</v>
      </c>
      <c r="I630" s="1" t="str">
        <f t="shared" si="9"/>
        <v>April</v>
      </c>
      <c r="J630" t="s">
        <v>8</v>
      </c>
    </row>
    <row r="631" spans="1:10" x14ac:dyDescent="0.35">
      <c r="A631" t="s">
        <v>868</v>
      </c>
      <c r="B631" t="s">
        <v>7</v>
      </c>
      <c r="C631">
        <v>0.2</v>
      </c>
      <c r="D631">
        <v>14</v>
      </c>
      <c r="E631" t="s">
        <v>865</v>
      </c>
      <c r="F631">
        <v>49.554765000000003</v>
      </c>
      <c r="G631">
        <v>11.0922</v>
      </c>
      <c r="H631" s="1">
        <v>45398</v>
      </c>
      <c r="I631" s="1" t="str">
        <f t="shared" si="9"/>
        <v>April</v>
      </c>
      <c r="J631" t="s">
        <v>8</v>
      </c>
    </row>
    <row r="632" spans="1:10" hidden="1" x14ac:dyDescent="0.35">
      <c r="A632" t="s">
        <v>868</v>
      </c>
      <c r="B632" t="s">
        <v>7</v>
      </c>
      <c r="C632">
        <v>0.27800000000000002</v>
      </c>
      <c r="D632">
        <v>18</v>
      </c>
      <c r="E632" t="s">
        <v>866</v>
      </c>
      <c r="F632">
        <v>49.558466000000003</v>
      </c>
      <c r="G632">
        <v>11.096048</v>
      </c>
      <c r="H632" s="1">
        <v>45398</v>
      </c>
      <c r="I632" s="1" t="str">
        <f t="shared" si="9"/>
        <v>April</v>
      </c>
      <c r="J632" t="s">
        <v>8</v>
      </c>
    </row>
    <row r="633" spans="1:10" x14ac:dyDescent="0.35">
      <c r="A633" t="s">
        <v>869</v>
      </c>
      <c r="B633" t="s">
        <v>9</v>
      </c>
      <c r="C633">
        <v>0.6</v>
      </c>
      <c r="D633">
        <v>25</v>
      </c>
      <c r="E633" t="s">
        <v>865</v>
      </c>
      <c r="F633">
        <v>48.407604999999997</v>
      </c>
      <c r="G633">
        <v>18.876341</v>
      </c>
      <c r="H633" s="1">
        <v>45398</v>
      </c>
      <c r="I633" s="1" t="str">
        <f t="shared" si="9"/>
        <v>April</v>
      </c>
      <c r="J633" t="s">
        <v>10</v>
      </c>
    </row>
    <row r="634" spans="1:10" hidden="1" x14ac:dyDescent="0.35">
      <c r="A634" t="s">
        <v>868</v>
      </c>
      <c r="B634" t="s">
        <v>4</v>
      </c>
      <c r="C634">
        <v>0.29799999999999999</v>
      </c>
      <c r="D634">
        <v>19</v>
      </c>
      <c r="E634" t="s">
        <v>866</v>
      </c>
      <c r="F634">
        <v>52.212378999999999</v>
      </c>
      <c r="G634">
        <v>21.032913000000001</v>
      </c>
      <c r="H634" s="1">
        <v>45399</v>
      </c>
      <c r="I634" s="1" t="str">
        <f t="shared" si="9"/>
        <v>April</v>
      </c>
      <c r="J634" t="s">
        <v>5</v>
      </c>
    </row>
    <row r="635" spans="1:10" x14ac:dyDescent="0.35">
      <c r="A635" t="s">
        <v>869</v>
      </c>
      <c r="B635" t="s">
        <v>7</v>
      </c>
      <c r="C635">
        <v>0.7</v>
      </c>
      <c r="D635">
        <v>21</v>
      </c>
      <c r="E635" t="s">
        <v>865</v>
      </c>
      <c r="F635">
        <v>49.556052000000001</v>
      </c>
      <c r="G635">
        <v>11.081500999999999</v>
      </c>
      <c r="H635" s="1">
        <v>45399</v>
      </c>
      <c r="I635" s="1" t="str">
        <f t="shared" si="9"/>
        <v>April</v>
      </c>
      <c r="J635" t="s">
        <v>8</v>
      </c>
    </row>
    <row r="636" spans="1:10" x14ac:dyDescent="0.35">
      <c r="A636" t="s">
        <v>869</v>
      </c>
      <c r="B636" t="s">
        <v>7</v>
      </c>
      <c r="C636">
        <v>1.2</v>
      </c>
      <c r="D636">
        <v>28</v>
      </c>
      <c r="E636" t="s">
        <v>865</v>
      </c>
      <c r="F636">
        <v>49.551519999999996</v>
      </c>
      <c r="G636">
        <v>11.079537</v>
      </c>
      <c r="H636" s="1">
        <v>45399</v>
      </c>
      <c r="I636" s="1" t="str">
        <f t="shared" si="9"/>
        <v>April</v>
      </c>
      <c r="J636" t="s">
        <v>8</v>
      </c>
    </row>
    <row r="637" spans="1:10" hidden="1" x14ac:dyDescent="0.35">
      <c r="A637" t="s">
        <v>869</v>
      </c>
      <c r="B637" t="s">
        <v>7</v>
      </c>
      <c r="C637">
        <v>0.5</v>
      </c>
      <c r="D637">
        <v>18</v>
      </c>
      <c r="E637" t="s">
        <v>866</v>
      </c>
      <c r="F637">
        <v>49.553736999999998</v>
      </c>
      <c r="G637">
        <v>11.087705</v>
      </c>
      <c r="H637" s="1">
        <v>45399</v>
      </c>
      <c r="I637" s="1" t="str">
        <f t="shared" si="9"/>
        <v>April</v>
      </c>
      <c r="J637" t="s">
        <v>8</v>
      </c>
    </row>
    <row r="638" spans="1:10" x14ac:dyDescent="0.35">
      <c r="A638" t="s">
        <v>869</v>
      </c>
      <c r="B638" t="s">
        <v>7</v>
      </c>
      <c r="C638">
        <v>1</v>
      </c>
      <c r="D638">
        <v>20</v>
      </c>
      <c r="E638" t="s">
        <v>865</v>
      </c>
      <c r="F638">
        <v>49.560442000000002</v>
      </c>
      <c r="G638">
        <v>11.098395</v>
      </c>
      <c r="H638" s="1">
        <v>45399</v>
      </c>
      <c r="I638" s="1" t="str">
        <f t="shared" si="9"/>
        <v>April</v>
      </c>
      <c r="J638" t="s">
        <v>8</v>
      </c>
    </row>
    <row r="639" spans="1:10" x14ac:dyDescent="0.35">
      <c r="A639" t="s">
        <v>869</v>
      </c>
      <c r="B639" t="s">
        <v>7</v>
      </c>
      <c r="C639">
        <v>0.9</v>
      </c>
      <c r="D639">
        <v>25</v>
      </c>
      <c r="E639" t="s">
        <v>865</v>
      </c>
      <c r="F639">
        <v>49.560723000000003</v>
      </c>
      <c r="G639">
        <v>11.084667</v>
      </c>
      <c r="H639" s="1">
        <v>45399</v>
      </c>
      <c r="I639" s="1" t="str">
        <f t="shared" ref="I639:I702" si="10">IF(H639="","",TEXT(H639,"MMMM"))</f>
        <v>April</v>
      </c>
      <c r="J639" t="s">
        <v>8</v>
      </c>
    </row>
    <row r="640" spans="1:10" hidden="1" x14ac:dyDescent="0.35">
      <c r="A640" t="s">
        <v>869</v>
      </c>
      <c r="B640" t="s">
        <v>7</v>
      </c>
      <c r="C640">
        <v>0.4</v>
      </c>
      <c r="D640">
        <v>16</v>
      </c>
      <c r="E640" t="s">
        <v>866</v>
      </c>
      <c r="F640">
        <v>49.558790000000002</v>
      </c>
      <c r="G640">
        <v>11.081218</v>
      </c>
      <c r="H640" s="1">
        <v>45399</v>
      </c>
      <c r="I640" s="1" t="str">
        <f t="shared" si="10"/>
        <v>April</v>
      </c>
      <c r="J640" t="s">
        <v>8</v>
      </c>
    </row>
    <row r="641" spans="1:10" x14ac:dyDescent="0.35">
      <c r="A641" t="s">
        <v>868</v>
      </c>
      <c r="B641" t="s">
        <v>7</v>
      </c>
      <c r="C641">
        <v>0.29399999999999998</v>
      </c>
      <c r="D641">
        <v>20</v>
      </c>
      <c r="E641" t="s">
        <v>865</v>
      </c>
      <c r="F641">
        <v>49.545856999999998</v>
      </c>
      <c r="G641">
        <v>11.076254</v>
      </c>
      <c r="H641" s="1">
        <v>45399</v>
      </c>
      <c r="I641" s="1" t="str">
        <f t="shared" si="10"/>
        <v>April</v>
      </c>
      <c r="J641" t="s">
        <v>8</v>
      </c>
    </row>
    <row r="642" spans="1:10" hidden="1" x14ac:dyDescent="0.35">
      <c r="A642" t="s">
        <v>868</v>
      </c>
      <c r="B642" t="s">
        <v>7</v>
      </c>
      <c r="C642">
        <v>0.3</v>
      </c>
      <c r="D642">
        <v>23</v>
      </c>
      <c r="E642" t="s">
        <v>866</v>
      </c>
      <c r="F642">
        <v>49.554684999999999</v>
      </c>
      <c r="G642">
        <v>11.083449999999999</v>
      </c>
      <c r="H642" s="1">
        <v>45399</v>
      </c>
      <c r="I642" s="1" t="str">
        <f t="shared" si="10"/>
        <v>April</v>
      </c>
      <c r="J642" t="s">
        <v>8</v>
      </c>
    </row>
    <row r="643" spans="1:10" x14ac:dyDescent="0.35">
      <c r="A643" t="s">
        <v>869</v>
      </c>
      <c r="B643" t="s">
        <v>9</v>
      </c>
      <c r="C643">
        <v>1.1000000000000001</v>
      </c>
      <c r="D643">
        <v>23</v>
      </c>
      <c r="E643" t="s">
        <v>865</v>
      </c>
      <c r="F643">
        <v>48.186112000000001</v>
      </c>
      <c r="G643">
        <v>17.090491</v>
      </c>
      <c r="H643" s="1">
        <v>45399</v>
      </c>
      <c r="I643" s="1" t="str">
        <f t="shared" si="10"/>
        <v>April</v>
      </c>
      <c r="J643" t="s">
        <v>10</v>
      </c>
    </row>
    <row r="644" spans="1:10" x14ac:dyDescent="0.35">
      <c r="A644" t="s">
        <v>867</v>
      </c>
      <c r="B644" t="s">
        <v>9</v>
      </c>
      <c r="C644">
        <v>27</v>
      </c>
      <c r="D644">
        <v>100</v>
      </c>
      <c r="E644" t="s">
        <v>865</v>
      </c>
      <c r="F644">
        <v>48.411116999999997</v>
      </c>
      <c r="G644">
        <v>18.862265000000001</v>
      </c>
      <c r="H644" s="1">
        <v>45399</v>
      </c>
      <c r="I644" s="1" t="str">
        <f t="shared" si="10"/>
        <v>April</v>
      </c>
      <c r="J644" t="s">
        <v>10</v>
      </c>
    </row>
    <row r="645" spans="1:10" hidden="1" x14ac:dyDescent="0.35">
      <c r="A645" t="s">
        <v>868</v>
      </c>
      <c r="B645" t="s">
        <v>11</v>
      </c>
      <c r="C645">
        <v>0.28299999999999997</v>
      </c>
      <c r="D645">
        <v>22</v>
      </c>
      <c r="E645" t="s">
        <v>866</v>
      </c>
      <c r="F645">
        <v>50.106413000000003</v>
      </c>
      <c r="G645">
        <v>14.348204000000001</v>
      </c>
      <c r="H645" s="1">
        <v>45399</v>
      </c>
      <c r="I645" s="1" t="str">
        <f t="shared" si="10"/>
        <v>April</v>
      </c>
      <c r="J645" t="s">
        <v>10</v>
      </c>
    </row>
    <row r="646" spans="1:10" hidden="1" x14ac:dyDescent="0.35">
      <c r="A646" t="s">
        <v>868</v>
      </c>
      <c r="B646" t="s">
        <v>11</v>
      </c>
      <c r="C646">
        <v>0.28000000000000003</v>
      </c>
      <c r="D646">
        <v>22</v>
      </c>
      <c r="E646" t="s">
        <v>866</v>
      </c>
      <c r="F646">
        <v>50.107135</v>
      </c>
      <c r="G646">
        <v>14.348205999999999</v>
      </c>
      <c r="H646" s="1">
        <v>45399</v>
      </c>
      <c r="I646" s="1" t="str">
        <f t="shared" si="10"/>
        <v>April</v>
      </c>
      <c r="J646" t="s">
        <v>10</v>
      </c>
    </row>
    <row r="647" spans="1:10" hidden="1" x14ac:dyDescent="0.35">
      <c r="A647" t="s">
        <v>864</v>
      </c>
      <c r="B647" t="s">
        <v>4</v>
      </c>
      <c r="C647">
        <v>405</v>
      </c>
      <c r="D647">
        <v>220</v>
      </c>
      <c r="E647" t="s">
        <v>866</v>
      </c>
      <c r="F647">
        <v>52.804031000000002</v>
      </c>
      <c r="G647">
        <v>23.683032000000001</v>
      </c>
      <c r="H647" s="1">
        <v>45400</v>
      </c>
      <c r="I647" s="1" t="str">
        <f t="shared" si="10"/>
        <v>April</v>
      </c>
      <c r="J647" t="s">
        <v>5</v>
      </c>
    </row>
    <row r="648" spans="1:10" x14ac:dyDescent="0.35">
      <c r="A648" t="s">
        <v>869</v>
      </c>
      <c r="B648" t="s">
        <v>7</v>
      </c>
      <c r="C648">
        <v>1</v>
      </c>
      <c r="D648">
        <v>24</v>
      </c>
      <c r="E648" t="s">
        <v>865</v>
      </c>
      <c r="F648">
        <v>49.561056999999998</v>
      </c>
      <c r="G648">
        <v>11.084334</v>
      </c>
      <c r="H648" s="1">
        <v>45400</v>
      </c>
      <c r="I648" s="1" t="str">
        <f t="shared" si="10"/>
        <v>April</v>
      </c>
      <c r="J648" t="s">
        <v>8</v>
      </c>
    </row>
    <row r="649" spans="1:10" x14ac:dyDescent="0.35">
      <c r="A649" t="s">
        <v>869</v>
      </c>
      <c r="B649" t="s">
        <v>7</v>
      </c>
      <c r="C649">
        <v>0.6</v>
      </c>
      <c r="D649">
        <v>11</v>
      </c>
      <c r="E649" t="s">
        <v>865</v>
      </c>
      <c r="F649">
        <v>49.557054999999998</v>
      </c>
      <c r="G649">
        <v>11.101996</v>
      </c>
      <c r="H649" s="1">
        <v>45400</v>
      </c>
      <c r="I649" s="1" t="str">
        <f t="shared" si="10"/>
        <v>April</v>
      </c>
      <c r="J649" t="s">
        <v>8</v>
      </c>
    </row>
    <row r="650" spans="1:10" x14ac:dyDescent="0.35">
      <c r="A650" t="s">
        <v>869</v>
      </c>
      <c r="B650" t="s">
        <v>7</v>
      </c>
      <c r="C650">
        <v>0.7</v>
      </c>
      <c r="D650">
        <v>25</v>
      </c>
      <c r="E650" t="s">
        <v>865</v>
      </c>
      <c r="F650">
        <v>49.554133</v>
      </c>
      <c r="G650">
        <v>11.089674</v>
      </c>
      <c r="H650" s="1">
        <v>45400</v>
      </c>
      <c r="I650" s="1" t="str">
        <f t="shared" si="10"/>
        <v>April</v>
      </c>
      <c r="J650" t="s">
        <v>8</v>
      </c>
    </row>
    <row r="651" spans="1:10" hidden="1" x14ac:dyDescent="0.35">
      <c r="A651" t="s">
        <v>869</v>
      </c>
      <c r="B651" t="s">
        <v>7</v>
      </c>
      <c r="C651">
        <v>0.6</v>
      </c>
      <c r="D651">
        <v>22</v>
      </c>
      <c r="E651" t="s">
        <v>866</v>
      </c>
      <c r="F651">
        <v>49.561174000000001</v>
      </c>
      <c r="G651">
        <v>11.102216</v>
      </c>
      <c r="H651" s="1">
        <v>45400</v>
      </c>
      <c r="I651" s="1" t="str">
        <f t="shared" si="10"/>
        <v>April</v>
      </c>
      <c r="J651" t="s">
        <v>8</v>
      </c>
    </row>
    <row r="652" spans="1:10" x14ac:dyDescent="0.35">
      <c r="A652" t="s">
        <v>869</v>
      </c>
      <c r="B652" t="s">
        <v>7</v>
      </c>
      <c r="C652">
        <v>0.5</v>
      </c>
      <c r="D652">
        <v>20</v>
      </c>
      <c r="E652" t="s">
        <v>865</v>
      </c>
      <c r="F652">
        <v>49.563085000000001</v>
      </c>
      <c r="G652">
        <v>11.101392000000001</v>
      </c>
      <c r="H652" s="1">
        <v>45400</v>
      </c>
      <c r="I652" s="1" t="str">
        <f t="shared" si="10"/>
        <v>April</v>
      </c>
      <c r="J652" t="s">
        <v>8</v>
      </c>
    </row>
    <row r="653" spans="1:10" x14ac:dyDescent="0.35">
      <c r="A653" t="s">
        <v>869</v>
      </c>
      <c r="B653" t="s">
        <v>7</v>
      </c>
      <c r="C653">
        <v>0.9</v>
      </c>
      <c r="D653">
        <v>25</v>
      </c>
      <c r="E653" t="s">
        <v>865</v>
      </c>
      <c r="F653">
        <v>49.551318000000002</v>
      </c>
      <c r="G653">
        <v>11.085475000000001</v>
      </c>
      <c r="H653" s="1">
        <v>45400</v>
      </c>
      <c r="I653" s="1" t="str">
        <f t="shared" si="10"/>
        <v>April</v>
      </c>
      <c r="J653" t="s">
        <v>8</v>
      </c>
    </row>
    <row r="654" spans="1:10" hidden="1" x14ac:dyDescent="0.35">
      <c r="A654" t="s">
        <v>869</v>
      </c>
      <c r="B654" t="s">
        <v>7</v>
      </c>
      <c r="C654">
        <v>0.5</v>
      </c>
      <c r="D654">
        <v>16</v>
      </c>
      <c r="E654" t="s">
        <v>866</v>
      </c>
      <c r="F654">
        <v>49.556237000000003</v>
      </c>
      <c r="G654">
        <v>11.088639000000001</v>
      </c>
      <c r="H654" s="1">
        <v>45400</v>
      </c>
      <c r="I654" s="1" t="str">
        <f t="shared" si="10"/>
        <v>April</v>
      </c>
      <c r="J654" t="s">
        <v>8</v>
      </c>
    </row>
    <row r="655" spans="1:10" x14ac:dyDescent="0.35">
      <c r="A655" t="s">
        <v>869</v>
      </c>
      <c r="B655" t="s">
        <v>7</v>
      </c>
      <c r="C655">
        <v>0.8</v>
      </c>
      <c r="D655">
        <v>17</v>
      </c>
      <c r="E655" t="s">
        <v>865</v>
      </c>
      <c r="F655">
        <v>49.545768000000002</v>
      </c>
      <c r="G655">
        <v>11.086385999999999</v>
      </c>
      <c r="H655" s="1">
        <v>45400</v>
      </c>
      <c r="I655" s="1" t="str">
        <f t="shared" si="10"/>
        <v>April</v>
      </c>
      <c r="J655" t="s">
        <v>8</v>
      </c>
    </row>
    <row r="656" spans="1:10" x14ac:dyDescent="0.35">
      <c r="A656" t="s">
        <v>868</v>
      </c>
      <c r="B656" t="s">
        <v>11</v>
      </c>
      <c r="C656">
        <v>0.32600000000000001</v>
      </c>
      <c r="D656">
        <v>23</v>
      </c>
      <c r="E656" t="s">
        <v>865</v>
      </c>
      <c r="F656">
        <v>50.107312999999998</v>
      </c>
      <c r="G656">
        <v>14.348552</v>
      </c>
      <c r="H656" s="1">
        <v>45400</v>
      </c>
      <c r="I656" s="1" t="str">
        <f t="shared" si="10"/>
        <v>April</v>
      </c>
      <c r="J656" t="s">
        <v>10</v>
      </c>
    </row>
    <row r="657" spans="1:10" hidden="1" x14ac:dyDescent="0.35">
      <c r="A657" t="s">
        <v>864</v>
      </c>
      <c r="B657" t="s">
        <v>4</v>
      </c>
      <c r="C657">
        <v>662</v>
      </c>
      <c r="D657">
        <v>244</v>
      </c>
      <c r="E657" t="s">
        <v>866</v>
      </c>
      <c r="F657">
        <v>52.809106</v>
      </c>
      <c r="G657">
        <v>23.680095000000001</v>
      </c>
      <c r="H657" s="1">
        <v>45401</v>
      </c>
      <c r="I657" s="1" t="str">
        <f t="shared" si="10"/>
        <v>April</v>
      </c>
      <c r="J657" t="s">
        <v>5</v>
      </c>
    </row>
    <row r="658" spans="1:10" x14ac:dyDescent="0.35">
      <c r="A658" t="s">
        <v>868</v>
      </c>
      <c r="B658" t="s">
        <v>4</v>
      </c>
      <c r="C658">
        <v>0.34100000000000003</v>
      </c>
      <c r="D658">
        <v>23</v>
      </c>
      <c r="E658" t="s">
        <v>865</v>
      </c>
      <c r="F658">
        <v>52.212041999999997</v>
      </c>
      <c r="G658">
        <v>21.033491999999999</v>
      </c>
      <c r="H658" s="1">
        <v>45401</v>
      </c>
      <c r="I658" s="1" t="str">
        <f t="shared" si="10"/>
        <v>April</v>
      </c>
      <c r="J658" t="s">
        <v>5</v>
      </c>
    </row>
    <row r="659" spans="1:10" hidden="1" x14ac:dyDescent="0.35">
      <c r="A659" t="s">
        <v>869</v>
      </c>
      <c r="B659" t="s">
        <v>12</v>
      </c>
      <c r="C659">
        <v>0.6</v>
      </c>
      <c r="D659">
        <v>17</v>
      </c>
      <c r="E659" t="s">
        <v>866</v>
      </c>
      <c r="F659">
        <v>47.319578999999997</v>
      </c>
      <c r="G659">
        <v>11.186061</v>
      </c>
      <c r="H659" s="1">
        <v>45401</v>
      </c>
      <c r="I659" s="1" t="str">
        <f t="shared" si="10"/>
        <v>April</v>
      </c>
      <c r="J659" t="s">
        <v>8</v>
      </c>
    </row>
    <row r="660" spans="1:10" x14ac:dyDescent="0.35">
      <c r="A660" t="s">
        <v>869</v>
      </c>
      <c r="B660" t="s">
        <v>12</v>
      </c>
      <c r="C660">
        <v>0.9</v>
      </c>
      <c r="D660">
        <v>25</v>
      </c>
      <c r="E660" t="s">
        <v>865</v>
      </c>
      <c r="F660">
        <v>47.317974</v>
      </c>
      <c r="G660">
        <v>11.187472</v>
      </c>
      <c r="H660" s="1">
        <v>45401</v>
      </c>
      <c r="I660" s="1" t="str">
        <f t="shared" si="10"/>
        <v>April</v>
      </c>
      <c r="J660" t="s">
        <v>8</v>
      </c>
    </row>
    <row r="661" spans="1:10" x14ac:dyDescent="0.35">
      <c r="A661" t="s">
        <v>869</v>
      </c>
      <c r="B661" t="s">
        <v>12</v>
      </c>
      <c r="C661">
        <v>1.1000000000000001</v>
      </c>
      <c r="D661">
        <v>22</v>
      </c>
      <c r="E661" t="s">
        <v>865</v>
      </c>
      <c r="F661">
        <v>47.316561999999998</v>
      </c>
      <c r="G661">
        <v>11.19116</v>
      </c>
      <c r="H661" s="1">
        <v>45401</v>
      </c>
      <c r="I661" s="1" t="str">
        <f t="shared" si="10"/>
        <v>April</v>
      </c>
      <c r="J661" t="s">
        <v>8</v>
      </c>
    </row>
    <row r="662" spans="1:10" x14ac:dyDescent="0.35">
      <c r="A662" t="s">
        <v>869</v>
      </c>
      <c r="B662" t="s">
        <v>12</v>
      </c>
      <c r="C662">
        <v>1.2</v>
      </c>
      <c r="D662">
        <v>24</v>
      </c>
      <c r="E662" t="s">
        <v>865</v>
      </c>
      <c r="F662">
        <v>47.318190999999999</v>
      </c>
      <c r="G662">
        <v>11.189484</v>
      </c>
      <c r="H662" s="1">
        <v>45401</v>
      </c>
      <c r="I662" s="1" t="str">
        <f t="shared" si="10"/>
        <v>April</v>
      </c>
      <c r="J662" t="s">
        <v>8</v>
      </c>
    </row>
    <row r="663" spans="1:10" hidden="1" x14ac:dyDescent="0.35">
      <c r="A663" t="s">
        <v>864</v>
      </c>
      <c r="B663" t="s">
        <v>11</v>
      </c>
      <c r="C663">
        <v>656</v>
      </c>
      <c r="D663">
        <v>245</v>
      </c>
      <c r="E663" t="s">
        <v>866</v>
      </c>
      <c r="F663">
        <v>50.643056000000001</v>
      </c>
      <c r="G663">
        <v>14.843037000000001</v>
      </c>
      <c r="H663" s="1">
        <v>45401</v>
      </c>
      <c r="I663" s="1" t="str">
        <f t="shared" si="10"/>
        <v>April</v>
      </c>
      <c r="J663" t="s">
        <v>10</v>
      </c>
    </row>
    <row r="664" spans="1:10" hidden="1" x14ac:dyDescent="0.35">
      <c r="A664" t="s">
        <v>869</v>
      </c>
      <c r="B664" t="s">
        <v>9</v>
      </c>
      <c r="C664">
        <v>1.1000000000000001</v>
      </c>
      <c r="D664">
        <v>19</v>
      </c>
      <c r="E664" t="s">
        <v>866</v>
      </c>
      <c r="F664">
        <v>48.187522000000001</v>
      </c>
      <c r="G664">
        <v>17.087250999999998</v>
      </c>
      <c r="H664" s="1">
        <v>45401</v>
      </c>
      <c r="I664" s="1" t="str">
        <f t="shared" si="10"/>
        <v>April</v>
      </c>
      <c r="J664" t="s">
        <v>10</v>
      </c>
    </row>
    <row r="665" spans="1:10" x14ac:dyDescent="0.35">
      <c r="A665" t="s">
        <v>869</v>
      </c>
      <c r="B665" t="s">
        <v>9</v>
      </c>
      <c r="C665">
        <v>1.1000000000000001</v>
      </c>
      <c r="D665">
        <v>29</v>
      </c>
      <c r="E665" t="s">
        <v>865</v>
      </c>
      <c r="F665">
        <v>48.185406</v>
      </c>
      <c r="G665">
        <v>17.084534999999999</v>
      </c>
      <c r="H665" s="1">
        <v>45401</v>
      </c>
      <c r="I665" s="1" t="str">
        <f t="shared" si="10"/>
        <v>April</v>
      </c>
      <c r="J665" t="s">
        <v>10</v>
      </c>
    </row>
    <row r="666" spans="1:10" x14ac:dyDescent="0.35">
      <c r="A666" t="s">
        <v>867</v>
      </c>
      <c r="B666" t="s">
        <v>11</v>
      </c>
      <c r="C666">
        <v>12</v>
      </c>
      <c r="D666">
        <v>52</v>
      </c>
      <c r="E666" t="s">
        <v>865</v>
      </c>
      <c r="F666">
        <v>-78.582971999999998</v>
      </c>
      <c r="G666">
        <v>14.367993</v>
      </c>
      <c r="H666" s="1">
        <v>45401</v>
      </c>
      <c r="I666" s="1" t="str">
        <f t="shared" si="10"/>
        <v>April</v>
      </c>
      <c r="J666" t="s">
        <v>10</v>
      </c>
    </row>
    <row r="667" spans="1:10" hidden="1" x14ac:dyDescent="0.35">
      <c r="A667" t="s">
        <v>867</v>
      </c>
      <c r="B667" t="s">
        <v>9</v>
      </c>
      <c r="C667">
        <v>24</v>
      </c>
      <c r="D667">
        <v>81</v>
      </c>
      <c r="E667" t="s">
        <v>866</v>
      </c>
      <c r="F667">
        <v>48.408549000000001</v>
      </c>
      <c r="G667">
        <v>18.87396</v>
      </c>
      <c r="H667" s="1">
        <v>45401</v>
      </c>
      <c r="I667" s="1" t="str">
        <f t="shared" si="10"/>
        <v>April</v>
      </c>
      <c r="J667" t="s">
        <v>10</v>
      </c>
    </row>
    <row r="668" spans="1:10" hidden="1" x14ac:dyDescent="0.35">
      <c r="A668" t="s">
        <v>867</v>
      </c>
      <c r="B668" t="s">
        <v>11</v>
      </c>
      <c r="C668">
        <v>22</v>
      </c>
      <c r="D668">
        <v>83</v>
      </c>
      <c r="E668" t="s">
        <v>866</v>
      </c>
      <c r="F668">
        <v>50.882924000000003</v>
      </c>
      <c r="G668">
        <v>14.368207</v>
      </c>
      <c r="H668" s="1">
        <v>45401</v>
      </c>
      <c r="I668" s="1" t="str">
        <f t="shared" si="10"/>
        <v>April</v>
      </c>
      <c r="J668" t="s">
        <v>10</v>
      </c>
    </row>
    <row r="669" spans="1:10" x14ac:dyDescent="0.35">
      <c r="A669" t="s">
        <v>868</v>
      </c>
      <c r="B669" t="s">
        <v>4</v>
      </c>
      <c r="C669">
        <v>0.32700000000000001</v>
      </c>
      <c r="D669">
        <v>23</v>
      </c>
      <c r="E669" t="s">
        <v>865</v>
      </c>
      <c r="F669">
        <v>52.212167999999998</v>
      </c>
      <c r="G669">
        <v>21.032304</v>
      </c>
      <c r="H669" s="1">
        <v>45402</v>
      </c>
      <c r="I669" s="1" t="str">
        <f t="shared" si="10"/>
        <v>April</v>
      </c>
      <c r="J669" t="s">
        <v>5</v>
      </c>
    </row>
    <row r="670" spans="1:10" hidden="1" x14ac:dyDescent="0.35">
      <c r="A670" t="s">
        <v>868</v>
      </c>
      <c r="B670" t="s">
        <v>4</v>
      </c>
      <c r="C670">
        <v>0.33700000000000002</v>
      </c>
      <c r="D670">
        <v>24</v>
      </c>
      <c r="E670" t="s">
        <v>866</v>
      </c>
      <c r="F670">
        <v>52.211796999999997</v>
      </c>
      <c r="G670">
        <v>21.033750000000001</v>
      </c>
      <c r="H670" s="1">
        <v>45402</v>
      </c>
      <c r="I670" s="1" t="str">
        <f t="shared" si="10"/>
        <v>April</v>
      </c>
      <c r="J670" t="s">
        <v>5</v>
      </c>
    </row>
    <row r="671" spans="1:10" x14ac:dyDescent="0.35">
      <c r="A671" t="s">
        <v>868</v>
      </c>
      <c r="B671" t="s">
        <v>4</v>
      </c>
      <c r="C671">
        <v>0.318</v>
      </c>
      <c r="D671">
        <v>24</v>
      </c>
      <c r="E671" t="s">
        <v>865</v>
      </c>
      <c r="F671">
        <v>52.212470000000003</v>
      </c>
      <c r="G671">
        <v>21.033642</v>
      </c>
      <c r="H671" s="1">
        <v>45402</v>
      </c>
      <c r="I671" s="1" t="str">
        <f t="shared" si="10"/>
        <v>April</v>
      </c>
      <c r="J671" t="s">
        <v>5</v>
      </c>
    </row>
    <row r="672" spans="1:10" x14ac:dyDescent="0.35">
      <c r="A672" t="s">
        <v>868</v>
      </c>
      <c r="B672" t="s">
        <v>4</v>
      </c>
      <c r="C672">
        <v>0.33</v>
      </c>
      <c r="D672">
        <v>23</v>
      </c>
      <c r="E672" t="s">
        <v>865</v>
      </c>
      <c r="F672">
        <v>52.211872</v>
      </c>
      <c r="G672">
        <v>21.032295999999999</v>
      </c>
      <c r="H672" s="1">
        <v>45402</v>
      </c>
      <c r="I672" s="1" t="str">
        <f t="shared" si="10"/>
        <v>April</v>
      </c>
      <c r="J672" t="s">
        <v>5</v>
      </c>
    </row>
    <row r="673" spans="1:10" x14ac:dyDescent="0.35">
      <c r="A673" t="s">
        <v>864</v>
      </c>
      <c r="B673" t="s">
        <v>4</v>
      </c>
      <c r="C673">
        <v>776</v>
      </c>
      <c r="D673">
        <v>294</v>
      </c>
      <c r="E673" t="s">
        <v>865</v>
      </c>
      <c r="F673">
        <v>52.805298999999998</v>
      </c>
      <c r="G673">
        <v>23.701093</v>
      </c>
      <c r="H673" s="1">
        <v>45403</v>
      </c>
      <c r="I673" s="1" t="str">
        <f t="shared" si="10"/>
        <v>April</v>
      </c>
      <c r="J673" t="s">
        <v>5</v>
      </c>
    </row>
    <row r="674" spans="1:10" x14ac:dyDescent="0.35">
      <c r="A674" t="s">
        <v>869</v>
      </c>
      <c r="B674" t="s">
        <v>9</v>
      </c>
      <c r="C674">
        <v>0.8</v>
      </c>
      <c r="D674">
        <v>18</v>
      </c>
      <c r="E674" t="s">
        <v>865</v>
      </c>
      <c r="F674">
        <v>48.186208000000001</v>
      </c>
      <c r="G674">
        <v>17.089749000000001</v>
      </c>
      <c r="H674" s="1">
        <v>45403</v>
      </c>
      <c r="I674" s="1" t="str">
        <f t="shared" si="10"/>
        <v>April</v>
      </c>
      <c r="J674" t="s">
        <v>10</v>
      </c>
    </row>
    <row r="675" spans="1:10" hidden="1" x14ac:dyDescent="0.35">
      <c r="A675" t="s">
        <v>868</v>
      </c>
      <c r="B675" t="s">
        <v>4</v>
      </c>
      <c r="C675">
        <v>0.30599999999999999</v>
      </c>
      <c r="D675">
        <v>19</v>
      </c>
      <c r="E675" t="s">
        <v>866</v>
      </c>
      <c r="F675">
        <v>52.212605000000003</v>
      </c>
      <c r="G675">
        <v>21.033877</v>
      </c>
      <c r="H675" s="1">
        <v>45404</v>
      </c>
      <c r="I675" s="1" t="str">
        <f t="shared" si="10"/>
        <v>April</v>
      </c>
      <c r="J675" t="s">
        <v>5</v>
      </c>
    </row>
    <row r="676" spans="1:10" hidden="1" x14ac:dyDescent="0.35">
      <c r="A676" t="s">
        <v>868</v>
      </c>
      <c r="B676" t="s">
        <v>4</v>
      </c>
      <c r="C676">
        <v>0.34899999999999998</v>
      </c>
      <c r="D676">
        <v>20</v>
      </c>
      <c r="E676" t="s">
        <v>866</v>
      </c>
      <c r="F676">
        <v>52.212001000000001</v>
      </c>
      <c r="G676">
        <v>21.033902999999999</v>
      </c>
      <c r="H676" s="1">
        <v>45404</v>
      </c>
      <c r="I676" s="1" t="str">
        <f t="shared" si="10"/>
        <v>April</v>
      </c>
      <c r="J676" t="s">
        <v>5</v>
      </c>
    </row>
    <row r="677" spans="1:10" x14ac:dyDescent="0.35">
      <c r="A677" t="s">
        <v>867</v>
      </c>
      <c r="B677" t="s">
        <v>11</v>
      </c>
      <c r="C677">
        <v>23</v>
      </c>
      <c r="D677">
        <v>78</v>
      </c>
      <c r="E677" t="s">
        <v>865</v>
      </c>
      <c r="F677">
        <v>-78.582972999999996</v>
      </c>
      <c r="G677">
        <v>14.366823999999999</v>
      </c>
      <c r="H677" s="1">
        <v>45404</v>
      </c>
      <c r="I677" s="1" t="str">
        <f t="shared" si="10"/>
        <v>April</v>
      </c>
      <c r="J677" t="s">
        <v>10</v>
      </c>
    </row>
    <row r="678" spans="1:10" x14ac:dyDescent="0.35">
      <c r="A678" t="s">
        <v>869</v>
      </c>
      <c r="B678" t="s">
        <v>9</v>
      </c>
      <c r="C678">
        <v>0.7</v>
      </c>
      <c r="D678">
        <v>16</v>
      </c>
      <c r="E678" t="s">
        <v>865</v>
      </c>
      <c r="F678">
        <v>48.184230999999997</v>
      </c>
      <c r="G678">
        <v>17.091694</v>
      </c>
      <c r="H678" s="1">
        <v>45405</v>
      </c>
      <c r="I678" s="1" t="str">
        <f t="shared" si="10"/>
        <v>April</v>
      </c>
      <c r="J678" t="s">
        <v>10</v>
      </c>
    </row>
    <row r="679" spans="1:10" hidden="1" x14ac:dyDescent="0.35">
      <c r="A679" t="s">
        <v>864</v>
      </c>
      <c r="B679" t="s">
        <v>4</v>
      </c>
      <c r="C679">
        <v>650</v>
      </c>
      <c r="D679">
        <v>286</v>
      </c>
      <c r="E679" t="s">
        <v>866</v>
      </c>
      <c r="F679">
        <v>52.812486</v>
      </c>
      <c r="G679">
        <v>23.686230999999999</v>
      </c>
      <c r="H679" s="1">
        <v>45406</v>
      </c>
      <c r="I679" s="1" t="str">
        <f t="shared" si="10"/>
        <v>April</v>
      </c>
      <c r="J679" t="s">
        <v>5</v>
      </c>
    </row>
    <row r="680" spans="1:10" hidden="1" x14ac:dyDescent="0.35">
      <c r="A680" t="s">
        <v>868</v>
      </c>
      <c r="B680" t="s">
        <v>4</v>
      </c>
      <c r="C680">
        <v>0.27100000000000002</v>
      </c>
      <c r="D680">
        <v>19</v>
      </c>
      <c r="E680" t="s">
        <v>866</v>
      </c>
      <c r="F680">
        <v>52.211796999999997</v>
      </c>
      <c r="G680">
        <v>21.032857</v>
      </c>
      <c r="H680" s="1">
        <v>45406</v>
      </c>
      <c r="I680" s="1" t="str">
        <f t="shared" si="10"/>
        <v>April</v>
      </c>
      <c r="J680" t="s">
        <v>5</v>
      </c>
    </row>
    <row r="681" spans="1:10" hidden="1" x14ac:dyDescent="0.35">
      <c r="A681" t="s">
        <v>868</v>
      </c>
      <c r="B681" t="s">
        <v>4</v>
      </c>
      <c r="C681">
        <v>0.32900000000000001</v>
      </c>
      <c r="D681">
        <v>24</v>
      </c>
      <c r="E681" t="s">
        <v>866</v>
      </c>
      <c r="F681">
        <v>52.212045000000003</v>
      </c>
      <c r="G681">
        <v>21.031986</v>
      </c>
      <c r="H681" s="1">
        <v>45406</v>
      </c>
      <c r="I681" s="1" t="str">
        <f t="shared" si="10"/>
        <v>April</v>
      </c>
      <c r="J681" t="s">
        <v>5</v>
      </c>
    </row>
    <row r="682" spans="1:10" x14ac:dyDescent="0.35">
      <c r="A682" t="s">
        <v>867</v>
      </c>
      <c r="B682" t="s">
        <v>12</v>
      </c>
      <c r="C682">
        <v>20</v>
      </c>
      <c r="D682">
        <v>90</v>
      </c>
      <c r="E682" t="s">
        <v>865</v>
      </c>
      <c r="F682">
        <v>47.781188</v>
      </c>
      <c r="G682">
        <v>14.385356</v>
      </c>
      <c r="H682" s="1">
        <v>45406</v>
      </c>
      <c r="I682" s="1" t="str">
        <f t="shared" si="10"/>
        <v>April</v>
      </c>
      <c r="J682" t="s">
        <v>8</v>
      </c>
    </row>
    <row r="683" spans="1:10" hidden="1" x14ac:dyDescent="0.35">
      <c r="A683" t="s">
        <v>867</v>
      </c>
      <c r="B683" t="s">
        <v>12</v>
      </c>
      <c r="C683">
        <v>26</v>
      </c>
      <c r="D683">
        <v>91</v>
      </c>
      <c r="E683" t="s">
        <v>866</v>
      </c>
      <c r="F683">
        <v>47.780999000000001</v>
      </c>
      <c r="G683">
        <v>14.38212</v>
      </c>
      <c r="H683" s="1">
        <v>45406</v>
      </c>
      <c r="I683" s="1" t="str">
        <f t="shared" si="10"/>
        <v>April</v>
      </c>
      <c r="J683" t="s">
        <v>8</v>
      </c>
    </row>
    <row r="684" spans="1:10" hidden="1" x14ac:dyDescent="0.35">
      <c r="A684" t="s">
        <v>869</v>
      </c>
      <c r="B684" t="s">
        <v>9</v>
      </c>
      <c r="C684">
        <v>0.6</v>
      </c>
      <c r="D684">
        <v>15</v>
      </c>
      <c r="E684" t="s">
        <v>866</v>
      </c>
      <c r="F684">
        <v>48.185648</v>
      </c>
      <c r="G684">
        <v>17.083763000000001</v>
      </c>
      <c r="H684" s="1">
        <v>45406</v>
      </c>
      <c r="I684" s="1" t="str">
        <f t="shared" si="10"/>
        <v>April</v>
      </c>
      <c r="J684" t="s">
        <v>10</v>
      </c>
    </row>
    <row r="685" spans="1:10" hidden="1" x14ac:dyDescent="0.35">
      <c r="A685" t="s">
        <v>867</v>
      </c>
      <c r="B685" t="s">
        <v>4</v>
      </c>
      <c r="C685">
        <v>14</v>
      </c>
      <c r="D685">
        <v>65</v>
      </c>
      <c r="E685" t="s">
        <v>866</v>
      </c>
      <c r="F685">
        <v>52.851841</v>
      </c>
      <c r="G685">
        <v>23.891580000000001</v>
      </c>
      <c r="H685" s="1">
        <v>45407</v>
      </c>
      <c r="I685" s="1" t="str">
        <f t="shared" si="10"/>
        <v>April</v>
      </c>
      <c r="J685" t="s">
        <v>5</v>
      </c>
    </row>
    <row r="686" spans="1:10" x14ac:dyDescent="0.35">
      <c r="A686" t="s">
        <v>868</v>
      </c>
      <c r="B686" t="s">
        <v>4</v>
      </c>
      <c r="C686">
        <v>0.311</v>
      </c>
      <c r="D686">
        <v>21</v>
      </c>
      <c r="E686" t="s">
        <v>865</v>
      </c>
      <c r="F686">
        <v>52.212203000000002</v>
      </c>
      <c r="G686">
        <v>21.032278999999999</v>
      </c>
      <c r="H686" s="1">
        <v>45407</v>
      </c>
      <c r="I686" s="1" t="str">
        <f t="shared" si="10"/>
        <v>April</v>
      </c>
      <c r="J686" t="s">
        <v>5</v>
      </c>
    </row>
    <row r="687" spans="1:10" x14ac:dyDescent="0.35">
      <c r="A687" t="s">
        <v>869</v>
      </c>
      <c r="B687" t="s">
        <v>9</v>
      </c>
      <c r="C687">
        <v>0.7</v>
      </c>
      <c r="D687">
        <v>16</v>
      </c>
      <c r="E687" t="s">
        <v>865</v>
      </c>
      <c r="F687">
        <v>48.185433000000003</v>
      </c>
      <c r="G687">
        <v>17.086216</v>
      </c>
      <c r="H687" s="1">
        <v>45408</v>
      </c>
      <c r="I687" s="1" t="str">
        <f t="shared" si="10"/>
        <v>April</v>
      </c>
      <c r="J687" t="s">
        <v>10</v>
      </c>
    </row>
    <row r="688" spans="1:10" hidden="1" x14ac:dyDescent="0.35">
      <c r="A688" t="s">
        <v>868</v>
      </c>
      <c r="B688" t="s">
        <v>4</v>
      </c>
      <c r="C688">
        <v>0.28999999999999998</v>
      </c>
      <c r="D688">
        <v>24</v>
      </c>
      <c r="E688" t="s">
        <v>866</v>
      </c>
      <c r="F688">
        <v>52.212763000000002</v>
      </c>
      <c r="G688">
        <v>21.032786000000002</v>
      </c>
      <c r="H688" s="1">
        <v>45409</v>
      </c>
      <c r="I688" s="1" t="str">
        <f t="shared" si="10"/>
        <v>April</v>
      </c>
      <c r="J688" t="s">
        <v>5</v>
      </c>
    </row>
    <row r="689" spans="1:10" x14ac:dyDescent="0.35">
      <c r="A689" t="s">
        <v>869</v>
      </c>
      <c r="B689" t="s">
        <v>9</v>
      </c>
      <c r="C689">
        <v>1.2</v>
      </c>
      <c r="D689">
        <v>22</v>
      </c>
      <c r="E689" t="s">
        <v>865</v>
      </c>
      <c r="F689">
        <v>48.186912999999997</v>
      </c>
      <c r="G689">
        <v>17.088173999999999</v>
      </c>
      <c r="H689" s="1">
        <v>45409</v>
      </c>
      <c r="I689" s="1" t="str">
        <f t="shared" si="10"/>
        <v>April</v>
      </c>
      <c r="J689" t="s">
        <v>10</v>
      </c>
    </row>
    <row r="690" spans="1:10" hidden="1" x14ac:dyDescent="0.35">
      <c r="A690" t="s">
        <v>869</v>
      </c>
      <c r="B690" t="s">
        <v>9</v>
      </c>
      <c r="C690">
        <v>0.7</v>
      </c>
      <c r="D690">
        <v>24</v>
      </c>
      <c r="E690" t="s">
        <v>866</v>
      </c>
      <c r="F690">
        <v>48.185648999999998</v>
      </c>
      <c r="G690">
        <v>17.088833999999999</v>
      </c>
      <c r="H690" s="1">
        <v>45409</v>
      </c>
      <c r="I690" s="1" t="str">
        <f t="shared" si="10"/>
        <v>April</v>
      </c>
      <c r="J690" t="s">
        <v>10</v>
      </c>
    </row>
    <row r="691" spans="1:10" x14ac:dyDescent="0.35">
      <c r="A691" t="s">
        <v>867</v>
      </c>
      <c r="B691" t="s">
        <v>4</v>
      </c>
      <c r="C691">
        <v>12</v>
      </c>
      <c r="D691">
        <v>52</v>
      </c>
      <c r="E691" t="s">
        <v>865</v>
      </c>
      <c r="F691">
        <v>52.848213999999999</v>
      </c>
      <c r="G691">
        <v>23.891978000000002</v>
      </c>
      <c r="H691" s="1">
        <v>45410</v>
      </c>
      <c r="I691" s="1" t="str">
        <f t="shared" si="10"/>
        <v>April</v>
      </c>
      <c r="J691" t="s">
        <v>5</v>
      </c>
    </row>
    <row r="692" spans="1:10" hidden="1" x14ac:dyDescent="0.35">
      <c r="A692" t="s">
        <v>867</v>
      </c>
      <c r="B692" t="s">
        <v>4</v>
      </c>
      <c r="C692">
        <v>27</v>
      </c>
      <c r="D692">
        <v>95</v>
      </c>
      <c r="E692" t="s">
        <v>866</v>
      </c>
      <c r="F692">
        <v>52.853842999999998</v>
      </c>
      <c r="G692">
        <v>23.919668000000001</v>
      </c>
      <c r="H692" s="1">
        <v>45410</v>
      </c>
      <c r="I692" s="1" t="str">
        <f t="shared" si="10"/>
        <v>April</v>
      </c>
      <c r="J692" t="s">
        <v>5</v>
      </c>
    </row>
    <row r="693" spans="1:10" x14ac:dyDescent="0.35">
      <c r="A693" t="s">
        <v>868</v>
      </c>
      <c r="B693" t="s">
        <v>4</v>
      </c>
      <c r="C693">
        <v>0.312</v>
      </c>
      <c r="D693">
        <v>23</v>
      </c>
      <c r="E693" t="s">
        <v>865</v>
      </c>
      <c r="F693">
        <v>52.212119999999999</v>
      </c>
      <c r="G693">
        <v>21.034268000000001</v>
      </c>
      <c r="H693" s="1">
        <v>45410</v>
      </c>
      <c r="I693" s="1" t="str">
        <f t="shared" si="10"/>
        <v>April</v>
      </c>
      <c r="J693" t="s">
        <v>5</v>
      </c>
    </row>
    <row r="694" spans="1:10" x14ac:dyDescent="0.35">
      <c r="A694" t="s">
        <v>869</v>
      </c>
      <c r="B694" t="s">
        <v>7</v>
      </c>
      <c r="C694">
        <v>0.5</v>
      </c>
      <c r="D694">
        <v>20</v>
      </c>
      <c r="E694" t="s">
        <v>865</v>
      </c>
      <c r="F694">
        <v>49.553240000000002</v>
      </c>
      <c r="G694">
        <v>11.074007999999999</v>
      </c>
      <c r="H694" s="1">
        <v>45410</v>
      </c>
      <c r="I694" s="1" t="str">
        <f t="shared" si="10"/>
        <v>April</v>
      </c>
      <c r="J694" t="s">
        <v>8</v>
      </c>
    </row>
    <row r="695" spans="1:10" hidden="1" x14ac:dyDescent="0.35">
      <c r="A695" t="s">
        <v>869</v>
      </c>
      <c r="B695" t="s">
        <v>7</v>
      </c>
      <c r="C695">
        <v>1.1000000000000001</v>
      </c>
      <c r="D695">
        <v>20</v>
      </c>
      <c r="E695" t="s">
        <v>866</v>
      </c>
      <c r="F695">
        <v>49.551561999999997</v>
      </c>
      <c r="G695">
        <v>11.081737</v>
      </c>
      <c r="H695" s="1">
        <v>45410</v>
      </c>
      <c r="I695" s="1" t="str">
        <f t="shared" si="10"/>
        <v>April</v>
      </c>
      <c r="J695" t="s">
        <v>8</v>
      </c>
    </row>
    <row r="696" spans="1:10" x14ac:dyDescent="0.35">
      <c r="A696" t="s">
        <v>869</v>
      </c>
      <c r="B696" t="s">
        <v>7</v>
      </c>
      <c r="C696">
        <v>0.6</v>
      </c>
      <c r="D696">
        <v>18</v>
      </c>
      <c r="E696" t="s">
        <v>865</v>
      </c>
      <c r="F696">
        <v>49.547376</v>
      </c>
      <c r="G696">
        <v>11.079529000000001</v>
      </c>
      <c r="H696" s="1">
        <v>45410</v>
      </c>
      <c r="I696" s="1" t="str">
        <f t="shared" si="10"/>
        <v>April</v>
      </c>
      <c r="J696" t="s">
        <v>8</v>
      </c>
    </row>
    <row r="697" spans="1:10" x14ac:dyDescent="0.35">
      <c r="A697" t="s">
        <v>869</v>
      </c>
      <c r="B697" t="s">
        <v>7</v>
      </c>
      <c r="C697">
        <v>0.8</v>
      </c>
      <c r="D697">
        <v>20</v>
      </c>
      <c r="E697" t="s">
        <v>865</v>
      </c>
      <c r="F697">
        <v>49.560178000000001</v>
      </c>
      <c r="G697">
        <v>11.093259</v>
      </c>
      <c r="H697" s="1">
        <v>45410</v>
      </c>
      <c r="I697" s="1" t="str">
        <f t="shared" si="10"/>
        <v>April</v>
      </c>
      <c r="J697" t="s">
        <v>8</v>
      </c>
    </row>
    <row r="698" spans="1:10" x14ac:dyDescent="0.35">
      <c r="A698" t="s">
        <v>869</v>
      </c>
      <c r="B698" t="s">
        <v>7</v>
      </c>
      <c r="C698">
        <v>0.8</v>
      </c>
      <c r="D698">
        <v>19</v>
      </c>
      <c r="E698" t="s">
        <v>865</v>
      </c>
      <c r="F698">
        <v>49.558968</v>
      </c>
      <c r="G698">
        <v>11.106642000000001</v>
      </c>
      <c r="H698" s="1">
        <v>45410</v>
      </c>
      <c r="I698" s="1" t="str">
        <f t="shared" si="10"/>
        <v>April</v>
      </c>
      <c r="J698" t="s">
        <v>8</v>
      </c>
    </row>
    <row r="699" spans="1:10" x14ac:dyDescent="0.35">
      <c r="A699" t="s">
        <v>869</v>
      </c>
      <c r="B699" t="s">
        <v>9</v>
      </c>
      <c r="C699">
        <v>0.9</v>
      </c>
      <c r="D699">
        <v>20</v>
      </c>
      <c r="E699" t="s">
        <v>865</v>
      </c>
      <c r="F699">
        <v>48.186369999999997</v>
      </c>
      <c r="G699">
        <v>17.090384</v>
      </c>
      <c r="H699" s="1">
        <v>45410</v>
      </c>
      <c r="I699" s="1" t="str">
        <f t="shared" si="10"/>
        <v>April</v>
      </c>
      <c r="J699" t="s">
        <v>10</v>
      </c>
    </row>
    <row r="700" spans="1:10" hidden="1" x14ac:dyDescent="0.35">
      <c r="A700" t="s">
        <v>869</v>
      </c>
      <c r="B700" t="s">
        <v>6</v>
      </c>
      <c r="C700">
        <v>0.6</v>
      </c>
      <c r="D700">
        <v>16</v>
      </c>
      <c r="E700" t="s">
        <v>866</v>
      </c>
      <c r="F700">
        <v>47.506034999999997</v>
      </c>
      <c r="G700">
        <v>18.944527999999998</v>
      </c>
      <c r="H700" s="1">
        <v>45411</v>
      </c>
      <c r="I700" s="1" t="str">
        <f t="shared" si="10"/>
        <v>April</v>
      </c>
      <c r="J700" t="s">
        <v>5</v>
      </c>
    </row>
    <row r="701" spans="1:10" hidden="1" x14ac:dyDescent="0.35">
      <c r="A701" t="s">
        <v>868</v>
      </c>
      <c r="B701" t="s">
        <v>4</v>
      </c>
      <c r="C701">
        <v>0.27</v>
      </c>
      <c r="D701">
        <v>21</v>
      </c>
      <c r="E701" t="s">
        <v>866</v>
      </c>
      <c r="F701">
        <v>52.212389999999999</v>
      </c>
      <c r="G701">
        <v>21.034548000000001</v>
      </c>
      <c r="H701" s="1">
        <v>45411</v>
      </c>
      <c r="I701" s="1" t="str">
        <f t="shared" si="10"/>
        <v>April</v>
      </c>
      <c r="J701" t="s">
        <v>5</v>
      </c>
    </row>
    <row r="702" spans="1:10" x14ac:dyDescent="0.35">
      <c r="A702" t="s">
        <v>869</v>
      </c>
      <c r="B702" t="s">
        <v>9</v>
      </c>
      <c r="C702">
        <v>1.1000000000000001</v>
      </c>
      <c r="D702">
        <v>23</v>
      </c>
      <c r="E702" t="s">
        <v>865</v>
      </c>
      <c r="F702">
        <v>48.183847999999998</v>
      </c>
      <c r="G702">
        <v>17.082806000000001</v>
      </c>
      <c r="H702" s="1">
        <v>45411</v>
      </c>
      <c r="I702" s="1" t="str">
        <f t="shared" si="10"/>
        <v>April</v>
      </c>
      <c r="J702" t="s">
        <v>10</v>
      </c>
    </row>
    <row r="703" spans="1:10" x14ac:dyDescent="0.35">
      <c r="A703" t="s">
        <v>867</v>
      </c>
      <c r="B703" t="s">
        <v>9</v>
      </c>
      <c r="C703">
        <v>22</v>
      </c>
      <c r="D703">
        <v>73</v>
      </c>
      <c r="E703" t="s">
        <v>865</v>
      </c>
      <c r="F703">
        <v>48.410550999999998</v>
      </c>
      <c r="G703">
        <v>18.864865999999999</v>
      </c>
      <c r="H703" s="1">
        <v>45411</v>
      </c>
      <c r="I703" s="1" t="str">
        <f t="shared" ref="I703:I765" si="11">IF(H703="","",TEXT(H703,"MMMM"))</f>
        <v>April</v>
      </c>
      <c r="J703" t="s">
        <v>10</v>
      </c>
    </row>
    <row r="704" spans="1:10" hidden="1" x14ac:dyDescent="0.35">
      <c r="A704" t="s">
        <v>868</v>
      </c>
      <c r="B704" t="s">
        <v>4</v>
      </c>
      <c r="C704">
        <v>0.29199999999999998</v>
      </c>
      <c r="D704">
        <v>20</v>
      </c>
      <c r="E704" t="s">
        <v>866</v>
      </c>
      <c r="F704">
        <v>52.212432999999997</v>
      </c>
      <c r="G704">
        <v>21.032495999999998</v>
      </c>
      <c r="H704" s="1">
        <v>45412</v>
      </c>
      <c r="I704" s="1" t="str">
        <f t="shared" si="11"/>
        <v>April</v>
      </c>
      <c r="J704" t="s">
        <v>5</v>
      </c>
    </row>
    <row r="705" spans="1:10" hidden="1" x14ac:dyDescent="0.35">
      <c r="A705" t="s">
        <v>868</v>
      </c>
      <c r="B705" t="s">
        <v>4</v>
      </c>
      <c r="C705">
        <v>0.30499999999999999</v>
      </c>
      <c r="D705">
        <v>19</v>
      </c>
      <c r="E705" t="s">
        <v>866</v>
      </c>
      <c r="F705">
        <v>52.212746000000003</v>
      </c>
      <c r="G705">
        <v>21.033832</v>
      </c>
      <c r="H705" s="1">
        <v>45421</v>
      </c>
      <c r="I705" s="1" t="str">
        <f t="shared" si="11"/>
        <v>May</v>
      </c>
      <c r="J705" t="s">
        <v>5</v>
      </c>
    </row>
    <row r="706" spans="1:10" x14ac:dyDescent="0.35">
      <c r="A706" t="s">
        <v>869</v>
      </c>
      <c r="B706" t="s">
        <v>9</v>
      </c>
      <c r="C706">
        <v>0.7</v>
      </c>
      <c r="D706">
        <v>22</v>
      </c>
      <c r="E706" t="s">
        <v>865</v>
      </c>
      <c r="F706">
        <v>48.232759999999999</v>
      </c>
      <c r="G706">
        <v>17.069049</v>
      </c>
      <c r="H706" s="1">
        <v>45421</v>
      </c>
      <c r="I706" s="1" t="str">
        <f t="shared" si="11"/>
        <v>May</v>
      </c>
      <c r="J706" t="s">
        <v>10</v>
      </c>
    </row>
    <row r="707" spans="1:10" x14ac:dyDescent="0.35">
      <c r="A707" t="s">
        <v>869</v>
      </c>
      <c r="B707" t="s">
        <v>6</v>
      </c>
      <c r="C707">
        <v>0.7</v>
      </c>
      <c r="D707">
        <v>16</v>
      </c>
      <c r="E707" t="s">
        <v>865</v>
      </c>
      <c r="F707">
        <v>47.509594999999997</v>
      </c>
      <c r="G707">
        <v>18.939751000000001</v>
      </c>
      <c r="H707" s="1">
        <v>45422</v>
      </c>
      <c r="I707" s="1" t="str">
        <f t="shared" si="11"/>
        <v>May</v>
      </c>
      <c r="J707" t="s">
        <v>5</v>
      </c>
    </row>
    <row r="708" spans="1:10" x14ac:dyDescent="0.35">
      <c r="A708" t="s">
        <v>869</v>
      </c>
      <c r="B708" t="s">
        <v>6</v>
      </c>
      <c r="C708">
        <v>1</v>
      </c>
      <c r="D708">
        <v>20</v>
      </c>
      <c r="E708" t="s">
        <v>865</v>
      </c>
      <c r="F708">
        <v>47.511301000000003</v>
      </c>
      <c r="G708">
        <v>18.93974</v>
      </c>
      <c r="H708" s="1">
        <v>45422</v>
      </c>
      <c r="I708" s="1" t="str">
        <f t="shared" si="11"/>
        <v>May</v>
      </c>
      <c r="J708" t="s">
        <v>5</v>
      </c>
    </row>
    <row r="709" spans="1:10" x14ac:dyDescent="0.35">
      <c r="A709" t="s">
        <v>868</v>
      </c>
      <c r="B709" t="s">
        <v>4</v>
      </c>
      <c r="C709">
        <v>0.26400000000000001</v>
      </c>
      <c r="D709">
        <v>21</v>
      </c>
      <c r="E709" t="s">
        <v>865</v>
      </c>
      <c r="F709">
        <v>52.212147999999999</v>
      </c>
      <c r="G709">
        <v>21.033421000000001</v>
      </c>
      <c r="H709" s="1">
        <v>45423</v>
      </c>
      <c r="I709" s="1" t="str">
        <f t="shared" si="11"/>
        <v>May</v>
      </c>
      <c r="J709" t="s">
        <v>5</v>
      </c>
    </row>
    <row r="710" spans="1:10" x14ac:dyDescent="0.35">
      <c r="A710" t="s">
        <v>869</v>
      </c>
      <c r="B710" t="s">
        <v>7</v>
      </c>
      <c r="C710">
        <v>0.7</v>
      </c>
      <c r="D710">
        <v>24</v>
      </c>
      <c r="E710" t="s">
        <v>865</v>
      </c>
      <c r="F710">
        <v>49.560229999999997</v>
      </c>
      <c r="G710">
        <v>11.102233</v>
      </c>
      <c r="H710" s="1">
        <v>45423</v>
      </c>
      <c r="I710" s="1" t="str">
        <f t="shared" si="11"/>
        <v>May</v>
      </c>
      <c r="J710" t="s">
        <v>8</v>
      </c>
    </row>
    <row r="711" spans="1:10" hidden="1" x14ac:dyDescent="0.35">
      <c r="A711" t="s">
        <v>869</v>
      </c>
      <c r="B711" t="s">
        <v>7</v>
      </c>
      <c r="C711">
        <v>1.1000000000000001</v>
      </c>
      <c r="D711">
        <v>19</v>
      </c>
      <c r="E711" t="s">
        <v>866</v>
      </c>
      <c r="F711">
        <v>49.548409999999997</v>
      </c>
      <c r="G711">
        <v>11.078249</v>
      </c>
      <c r="H711" s="1">
        <v>45423</v>
      </c>
      <c r="I711" s="1" t="str">
        <f t="shared" si="11"/>
        <v>May</v>
      </c>
      <c r="J711" t="s">
        <v>8</v>
      </c>
    </row>
    <row r="712" spans="1:10" hidden="1" x14ac:dyDescent="0.35">
      <c r="A712" t="s">
        <v>869</v>
      </c>
      <c r="B712" t="s">
        <v>9</v>
      </c>
      <c r="C712">
        <v>0.8</v>
      </c>
      <c r="D712">
        <v>24</v>
      </c>
      <c r="E712" t="s">
        <v>866</v>
      </c>
      <c r="F712">
        <v>48.239628000000003</v>
      </c>
      <c r="G712">
        <v>17.087298000000001</v>
      </c>
      <c r="H712" s="1">
        <v>45423</v>
      </c>
      <c r="I712" s="1" t="str">
        <f t="shared" si="11"/>
        <v>May</v>
      </c>
      <c r="J712" t="s">
        <v>10</v>
      </c>
    </row>
    <row r="713" spans="1:10" hidden="1" x14ac:dyDescent="0.35">
      <c r="A713" t="s">
        <v>869</v>
      </c>
      <c r="B713" t="s">
        <v>6</v>
      </c>
      <c r="C713">
        <v>1</v>
      </c>
      <c r="D713">
        <v>23</v>
      </c>
      <c r="E713" t="s">
        <v>866</v>
      </c>
      <c r="F713">
        <v>47.507376000000001</v>
      </c>
      <c r="G713">
        <v>18.939599999999999</v>
      </c>
      <c r="H713" s="1">
        <v>45424</v>
      </c>
      <c r="I713" s="1" t="str">
        <f t="shared" si="11"/>
        <v>May</v>
      </c>
      <c r="J713" t="s">
        <v>5</v>
      </c>
    </row>
    <row r="714" spans="1:10" x14ac:dyDescent="0.35">
      <c r="A714" t="s">
        <v>868</v>
      </c>
      <c r="B714" t="s">
        <v>4</v>
      </c>
      <c r="C714">
        <v>0.26600000000000001</v>
      </c>
      <c r="D714">
        <v>20</v>
      </c>
      <c r="E714" t="s">
        <v>865</v>
      </c>
      <c r="F714">
        <v>52.212429</v>
      </c>
      <c r="G714">
        <v>21.032435</v>
      </c>
      <c r="H714" s="1">
        <v>45424</v>
      </c>
      <c r="I714" s="1" t="str">
        <f t="shared" si="11"/>
        <v>May</v>
      </c>
      <c r="J714" t="s">
        <v>5</v>
      </c>
    </row>
    <row r="715" spans="1:10" x14ac:dyDescent="0.35">
      <c r="A715" t="s">
        <v>869</v>
      </c>
      <c r="B715" t="s">
        <v>9</v>
      </c>
      <c r="C715">
        <v>0.5</v>
      </c>
      <c r="D715">
        <v>19</v>
      </c>
      <c r="E715" t="s">
        <v>865</v>
      </c>
      <c r="F715">
        <v>48.231938999999997</v>
      </c>
      <c r="G715">
        <v>17.087688</v>
      </c>
      <c r="H715" s="1">
        <v>45424</v>
      </c>
      <c r="I715" s="1" t="str">
        <f t="shared" si="11"/>
        <v>May</v>
      </c>
      <c r="J715" t="s">
        <v>10</v>
      </c>
    </row>
    <row r="716" spans="1:10" hidden="1" x14ac:dyDescent="0.35">
      <c r="A716" t="s">
        <v>868</v>
      </c>
      <c r="B716" t="s">
        <v>4</v>
      </c>
      <c r="C716">
        <v>0.26600000000000001</v>
      </c>
      <c r="D716">
        <v>21</v>
      </c>
      <c r="E716" t="s">
        <v>866</v>
      </c>
      <c r="F716">
        <v>52.21284</v>
      </c>
      <c r="G716">
        <v>21.034376999999999</v>
      </c>
      <c r="H716" s="1">
        <v>45425</v>
      </c>
      <c r="I716" s="1" t="str">
        <f t="shared" si="11"/>
        <v>May</v>
      </c>
      <c r="J716" t="s">
        <v>5</v>
      </c>
    </row>
    <row r="717" spans="1:10" hidden="1" x14ac:dyDescent="0.35">
      <c r="A717" t="s">
        <v>868</v>
      </c>
      <c r="B717" t="s">
        <v>4</v>
      </c>
      <c r="C717">
        <v>0.317</v>
      </c>
      <c r="D717">
        <v>20</v>
      </c>
      <c r="E717" t="s">
        <v>866</v>
      </c>
      <c r="F717">
        <v>52.212162999999997</v>
      </c>
      <c r="G717">
        <v>21.032633000000001</v>
      </c>
      <c r="H717" s="1">
        <v>45425</v>
      </c>
      <c r="I717" s="1" t="str">
        <f t="shared" si="11"/>
        <v>May</v>
      </c>
      <c r="J717" t="s">
        <v>5</v>
      </c>
    </row>
    <row r="718" spans="1:10" x14ac:dyDescent="0.35">
      <c r="A718" t="s">
        <v>869</v>
      </c>
      <c r="B718" t="s">
        <v>9</v>
      </c>
      <c r="C718">
        <v>1</v>
      </c>
      <c r="D718">
        <v>18</v>
      </c>
      <c r="E718" t="s">
        <v>865</v>
      </c>
      <c r="F718">
        <v>48.225014000000002</v>
      </c>
      <c r="G718">
        <v>17.081448999999999</v>
      </c>
      <c r="H718" s="1">
        <v>45425</v>
      </c>
      <c r="I718" s="1" t="str">
        <f t="shared" si="11"/>
        <v>May</v>
      </c>
      <c r="J718" t="s">
        <v>10</v>
      </c>
    </row>
    <row r="719" spans="1:10" hidden="1" x14ac:dyDescent="0.35">
      <c r="A719" t="s">
        <v>869</v>
      </c>
      <c r="B719" t="s">
        <v>6</v>
      </c>
      <c r="C719">
        <v>0.6</v>
      </c>
      <c r="D719">
        <v>17</v>
      </c>
      <c r="E719" t="s">
        <v>866</v>
      </c>
      <c r="F719">
        <v>47.506310999999997</v>
      </c>
      <c r="G719">
        <v>18.947371</v>
      </c>
      <c r="H719" s="1">
        <v>45426</v>
      </c>
      <c r="I719" s="1" t="str">
        <f t="shared" si="11"/>
        <v>May</v>
      </c>
      <c r="J719" t="s">
        <v>5</v>
      </c>
    </row>
    <row r="720" spans="1:10" hidden="1" x14ac:dyDescent="0.35">
      <c r="A720" t="s">
        <v>868</v>
      </c>
      <c r="B720" t="s">
        <v>4</v>
      </c>
      <c r="C720">
        <v>0.27</v>
      </c>
      <c r="D720">
        <v>23</v>
      </c>
      <c r="E720" t="s">
        <v>866</v>
      </c>
      <c r="F720">
        <v>52.212553</v>
      </c>
      <c r="G720">
        <v>21.032768000000001</v>
      </c>
      <c r="H720" s="1">
        <v>45426</v>
      </c>
      <c r="I720" s="1" t="str">
        <f t="shared" si="11"/>
        <v>May</v>
      </c>
      <c r="J720" t="s">
        <v>5</v>
      </c>
    </row>
    <row r="721" spans="1:10" hidden="1" x14ac:dyDescent="0.35">
      <c r="A721" t="s">
        <v>869</v>
      </c>
      <c r="B721" t="s">
        <v>9</v>
      </c>
      <c r="C721">
        <v>0.7</v>
      </c>
      <c r="D721">
        <v>22</v>
      </c>
      <c r="E721" t="s">
        <v>866</v>
      </c>
      <c r="F721">
        <v>48.225116</v>
      </c>
      <c r="G721">
        <v>17.086407999999999</v>
      </c>
      <c r="H721" s="1">
        <v>45426</v>
      </c>
      <c r="I721" s="1" t="str">
        <f t="shared" si="11"/>
        <v>May</v>
      </c>
      <c r="J721" t="s">
        <v>10</v>
      </c>
    </row>
    <row r="722" spans="1:10" x14ac:dyDescent="0.35">
      <c r="A722" t="s">
        <v>868</v>
      </c>
      <c r="B722" t="s">
        <v>4</v>
      </c>
      <c r="C722">
        <v>0.27900000000000003</v>
      </c>
      <c r="D722">
        <v>22</v>
      </c>
      <c r="E722" t="s">
        <v>865</v>
      </c>
      <c r="F722">
        <v>52.212411000000003</v>
      </c>
      <c r="G722">
        <v>21.033173000000001</v>
      </c>
      <c r="H722" s="1">
        <v>45427</v>
      </c>
      <c r="I722" s="1" t="str">
        <f t="shared" si="11"/>
        <v>May</v>
      </c>
      <c r="J722" t="s">
        <v>5</v>
      </c>
    </row>
    <row r="723" spans="1:10" hidden="1" x14ac:dyDescent="0.35">
      <c r="A723" t="s">
        <v>869</v>
      </c>
      <c r="B723" t="s">
        <v>6</v>
      </c>
      <c r="C723">
        <v>1</v>
      </c>
      <c r="D723">
        <v>18</v>
      </c>
      <c r="E723" t="s">
        <v>866</v>
      </c>
      <c r="F723">
        <v>47.507019</v>
      </c>
      <c r="G723">
        <v>18.944015</v>
      </c>
      <c r="H723" s="1">
        <v>45428</v>
      </c>
      <c r="I723" s="1" t="str">
        <f t="shared" si="11"/>
        <v>May</v>
      </c>
      <c r="J723" t="s">
        <v>5</v>
      </c>
    </row>
    <row r="724" spans="1:10" x14ac:dyDescent="0.35">
      <c r="A724" t="s">
        <v>869</v>
      </c>
      <c r="B724" t="s">
        <v>9</v>
      </c>
      <c r="C724">
        <v>0.4</v>
      </c>
      <c r="D724">
        <v>13</v>
      </c>
      <c r="E724" t="s">
        <v>865</v>
      </c>
      <c r="F724">
        <v>48.237386000000001</v>
      </c>
      <c r="G724">
        <v>17.078351999999999</v>
      </c>
      <c r="H724" s="1">
        <v>45428</v>
      </c>
      <c r="I724" s="1" t="str">
        <f t="shared" si="11"/>
        <v>May</v>
      </c>
      <c r="J724" t="s">
        <v>10</v>
      </c>
    </row>
    <row r="725" spans="1:10" x14ac:dyDescent="0.35">
      <c r="A725" t="s">
        <v>869</v>
      </c>
      <c r="B725" t="s">
        <v>6</v>
      </c>
      <c r="C725">
        <v>1</v>
      </c>
      <c r="D725">
        <v>23</v>
      </c>
      <c r="E725" t="s">
        <v>865</v>
      </c>
      <c r="F725">
        <v>47.510077000000003</v>
      </c>
      <c r="G725">
        <v>18.945646</v>
      </c>
      <c r="H725" s="1">
        <v>45429</v>
      </c>
      <c r="I725" s="1" t="str">
        <f t="shared" si="11"/>
        <v>May</v>
      </c>
      <c r="J725" t="s">
        <v>5</v>
      </c>
    </row>
    <row r="726" spans="1:10" hidden="1" x14ac:dyDescent="0.35">
      <c r="A726" t="s">
        <v>869</v>
      </c>
      <c r="B726" t="s">
        <v>6</v>
      </c>
      <c r="C726">
        <v>0.7</v>
      </c>
      <c r="D726">
        <v>11</v>
      </c>
      <c r="E726" t="s">
        <v>866</v>
      </c>
      <c r="F726">
        <v>47.507758000000003</v>
      </c>
      <c r="G726">
        <v>18.949223</v>
      </c>
      <c r="H726" s="1">
        <v>45429</v>
      </c>
      <c r="I726" s="1" t="str">
        <f t="shared" si="11"/>
        <v>May</v>
      </c>
      <c r="J726" t="s">
        <v>5</v>
      </c>
    </row>
    <row r="727" spans="1:10" hidden="1" x14ac:dyDescent="0.35">
      <c r="A727" t="s">
        <v>868</v>
      </c>
      <c r="B727" t="s">
        <v>4</v>
      </c>
      <c r="C727">
        <v>0.28000000000000003</v>
      </c>
      <c r="D727">
        <v>19</v>
      </c>
      <c r="E727" t="s">
        <v>866</v>
      </c>
      <c r="F727">
        <v>52.212541999999999</v>
      </c>
      <c r="G727">
        <v>21.033829000000001</v>
      </c>
      <c r="H727" s="1">
        <v>45429</v>
      </c>
      <c r="I727" s="1" t="str">
        <f t="shared" si="11"/>
        <v>May</v>
      </c>
      <c r="J727" t="s">
        <v>5</v>
      </c>
    </row>
    <row r="728" spans="1:10" x14ac:dyDescent="0.35">
      <c r="A728" t="s">
        <v>868</v>
      </c>
      <c r="B728" t="s">
        <v>4</v>
      </c>
      <c r="C728">
        <v>0.26</v>
      </c>
      <c r="D728">
        <v>19</v>
      </c>
      <c r="E728" t="s">
        <v>865</v>
      </c>
      <c r="F728">
        <v>52.212628000000002</v>
      </c>
      <c r="G728">
        <v>21.034493999999999</v>
      </c>
      <c r="H728" s="1">
        <v>45429</v>
      </c>
      <c r="I728" s="1" t="str">
        <f t="shared" si="11"/>
        <v>May</v>
      </c>
      <c r="J728" t="s">
        <v>5</v>
      </c>
    </row>
    <row r="729" spans="1:10" hidden="1" x14ac:dyDescent="0.35">
      <c r="A729" t="s">
        <v>868</v>
      </c>
      <c r="B729" t="s">
        <v>4</v>
      </c>
      <c r="C729">
        <v>0.29399999999999998</v>
      </c>
      <c r="D729">
        <v>24</v>
      </c>
      <c r="E729" t="s">
        <v>866</v>
      </c>
      <c r="F729">
        <v>52.212940000000003</v>
      </c>
      <c r="G729">
        <v>21.034208</v>
      </c>
      <c r="H729" s="1">
        <v>45429</v>
      </c>
      <c r="I729" s="1" t="str">
        <f t="shared" si="11"/>
        <v>May</v>
      </c>
      <c r="J729" t="s">
        <v>5</v>
      </c>
    </row>
    <row r="730" spans="1:10" x14ac:dyDescent="0.35">
      <c r="A730" t="s">
        <v>869</v>
      </c>
      <c r="B730" t="s">
        <v>9</v>
      </c>
      <c r="C730">
        <v>0.6</v>
      </c>
      <c r="D730">
        <v>20</v>
      </c>
      <c r="E730" t="s">
        <v>865</v>
      </c>
      <c r="F730">
        <v>48.235981000000002</v>
      </c>
      <c r="G730">
        <v>17.081697999999999</v>
      </c>
      <c r="H730" s="1">
        <v>45429</v>
      </c>
      <c r="I730" s="1" t="str">
        <f t="shared" si="11"/>
        <v>May</v>
      </c>
      <c r="J730" t="s">
        <v>10</v>
      </c>
    </row>
    <row r="731" spans="1:10" hidden="1" x14ac:dyDescent="0.35">
      <c r="A731" t="s">
        <v>869</v>
      </c>
      <c r="B731" t="s">
        <v>9</v>
      </c>
      <c r="C731">
        <v>0.8</v>
      </c>
      <c r="D731">
        <v>16</v>
      </c>
      <c r="E731" t="s">
        <v>866</v>
      </c>
      <c r="F731">
        <v>48.234929999999999</v>
      </c>
      <c r="G731">
        <v>17.084813</v>
      </c>
      <c r="H731" s="1">
        <v>45429</v>
      </c>
      <c r="I731" s="1" t="str">
        <f t="shared" si="11"/>
        <v>May</v>
      </c>
      <c r="J731" t="s">
        <v>10</v>
      </c>
    </row>
    <row r="732" spans="1:10" x14ac:dyDescent="0.35">
      <c r="A732" t="s">
        <v>867</v>
      </c>
      <c r="B732" t="s">
        <v>9</v>
      </c>
      <c r="C732">
        <v>18</v>
      </c>
      <c r="D732">
        <v>76</v>
      </c>
      <c r="E732" t="s">
        <v>865</v>
      </c>
      <c r="F732">
        <v>48.412723999999997</v>
      </c>
      <c r="G732">
        <v>18.868877999999999</v>
      </c>
      <c r="H732" s="1">
        <v>45429</v>
      </c>
      <c r="I732" s="1" t="str">
        <f t="shared" si="11"/>
        <v>May</v>
      </c>
      <c r="J732" t="s">
        <v>10</v>
      </c>
    </row>
    <row r="733" spans="1:10" x14ac:dyDescent="0.35">
      <c r="A733" t="s">
        <v>868</v>
      </c>
      <c r="B733" t="s">
        <v>4</v>
      </c>
      <c r="C733">
        <v>0.30599999999999999</v>
      </c>
      <c r="D733">
        <v>21</v>
      </c>
      <c r="E733" t="s">
        <v>865</v>
      </c>
      <c r="F733">
        <v>52.211896000000003</v>
      </c>
      <c r="G733">
        <v>21.033805999999998</v>
      </c>
      <c r="H733" s="1">
        <v>45430</v>
      </c>
      <c r="I733" s="1" t="str">
        <f t="shared" si="11"/>
        <v>May</v>
      </c>
      <c r="J733" t="s">
        <v>5</v>
      </c>
    </row>
    <row r="734" spans="1:10" x14ac:dyDescent="0.35">
      <c r="A734" t="s">
        <v>868</v>
      </c>
      <c r="B734" t="s">
        <v>4</v>
      </c>
      <c r="C734">
        <v>0.27700000000000002</v>
      </c>
      <c r="D734">
        <v>22</v>
      </c>
      <c r="E734" t="s">
        <v>865</v>
      </c>
      <c r="F734">
        <v>52.211924000000003</v>
      </c>
      <c r="G734">
        <v>21.033242999999999</v>
      </c>
      <c r="H734" s="1">
        <v>45430</v>
      </c>
      <c r="I734" s="1" t="str">
        <f t="shared" si="11"/>
        <v>May</v>
      </c>
      <c r="J734" t="s">
        <v>5</v>
      </c>
    </row>
    <row r="735" spans="1:10" hidden="1" x14ac:dyDescent="0.35">
      <c r="A735" t="s">
        <v>869</v>
      </c>
      <c r="B735" t="s">
        <v>6</v>
      </c>
      <c r="C735">
        <v>1.1000000000000001</v>
      </c>
      <c r="D735">
        <v>22</v>
      </c>
      <c r="E735" t="s">
        <v>866</v>
      </c>
      <c r="F735">
        <v>47.510584000000001</v>
      </c>
      <c r="G735">
        <v>18.94173</v>
      </c>
      <c r="H735" s="1">
        <v>45431</v>
      </c>
      <c r="I735" s="1" t="str">
        <f t="shared" si="11"/>
        <v>May</v>
      </c>
      <c r="J735" t="s">
        <v>5</v>
      </c>
    </row>
    <row r="736" spans="1:10" hidden="1" x14ac:dyDescent="0.35">
      <c r="A736" t="s">
        <v>869</v>
      </c>
      <c r="B736" t="s">
        <v>9</v>
      </c>
      <c r="C736">
        <v>0.6</v>
      </c>
      <c r="D736">
        <v>19</v>
      </c>
      <c r="E736" t="s">
        <v>866</v>
      </c>
      <c r="F736">
        <v>48.236604999999997</v>
      </c>
      <c r="G736">
        <v>17.071494999999999</v>
      </c>
      <c r="H736" s="1">
        <v>45431</v>
      </c>
      <c r="I736" s="1" t="str">
        <f t="shared" si="11"/>
        <v>May</v>
      </c>
      <c r="J736" t="s">
        <v>10</v>
      </c>
    </row>
    <row r="737" spans="1:10" x14ac:dyDescent="0.35">
      <c r="A737" t="s">
        <v>867</v>
      </c>
      <c r="B737" t="s">
        <v>9</v>
      </c>
      <c r="C737">
        <v>22</v>
      </c>
      <c r="D737">
        <v>85</v>
      </c>
      <c r="E737" t="s">
        <v>865</v>
      </c>
      <c r="F737">
        <v>48.411436000000002</v>
      </c>
      <c r="G737">
        <v>18.86478</v>
      </c>
      <c r="H737" s="1">
        <v>45431</v>
      </c>
      <c r="I737" s="1" t="str">
        <f t="shared" si="11"/>
        <v>May</v>
      </c>
      <c r="J737" t="s">
        <v>10</v>
      </c>
    </row>
    <row r="738" spans="1:10" hidden="1" x14ac:dyDescent="0.35">
      <c r="A738" t="s">
        <v>868</v>
      </c>
      <c r="B738" t="s">
        <v>4</v>
      </c>
      <c r="C738">
        <v>0.34100000000000003</v>
      </c>
      <c r="D738">
        <v>21</v>
      </c>
      <c r="E738" t="s">
        <v>866</v>
      </c>
      <c r="F738">
        <v>52.212294999999997</v>
      </c>
      <c r="G738">
        <v>21.034039</v>
      </c>
      <c r="H738" s="1">
        <v>45432</v>
      </c>
      <c r="I738" s="1" t="str">
        <f t="shared" si="11"/>
        <v>May</v>
      </c>
      <c r="J738" t="s">
        <v>5</v>
      </c>
    </row>
    <row r="739" spans="1:10" hidden="1" x14ac:dyDescent="0.35">
      <c r="A739" t="s">
        <v>868</v>
      </c>
      <c r="B739" t="s">
        <v>4</v>
      </c>
      <c r="C739">
        <v>0.33800000000000002</v>
      </c>
      <c r="D739">
        <v>22</v>
      </c>
      <c r="E739" t="s">
        <v>866</v>
      </c>
      <c r="F739">
        <v>52.212915000000002</v>
      </c>
      <c r="G739">
        <v>21.033225999999999</v>
      </c>
      <c r="H739" s="1">
        <v>45433</v>
      </c>
      <c r="I739" s="1" t="str">
        <f t="shared" si="11"/>
        <v>May</v>
      </c>
      <c r="J739" t="s">
        <v>5</v>
      </c>
    </row>
    <row r="740" spans="1:10" hidden="1" x14ac:dyDescent="0.35">
      <c r="A740" t="s">
        <v>868</v>
      </c>
      <c r="B740" t="s">
        <v>4</v>
      </c>
      <c r="C740">
        <v>0.311</v>
      </c>
      <c r="D740">
        <v>19</v>
      </c>
      <c r="E740" t="s">
        <v>866</v>
      </c>
      <c r="F740">
        <v>52.212600999999999</v>
      </c>
      <c r="G740">
        <v>21.032613000000001</v>
      </c>
      <c r="H740" s="1">
        <v>45433</v>
      </c>
      <c r="I740" s="1" t="str">
        <f t="shared" si="11"/>
        <v>May</v>
      </c>
      <c r="J740" t="s">
        <v>5</v>
      </c>
    </row>
    <row r="741" spans="1:10" x14ac:dyDescent="0.35">
      <c r="A741" t="s">
        <v>869</v>
      </c>
      <c r="B741" t="s">
        <v>9</v>
      </c>
      <c r="C741">
        <v>1.2</v>
      </c>
      <c r="D741">
        <v>25</v>
      </c>
      <c r="E741" t="s">
        <v>865</v>
      </c>
      <c r="F741">
        <v>48.231496999999997</v>
      </c>
      <c r="G741">
        <v>17.073128000000001</v>
      </c>
      <c r="H741" s="1">
        <v>45433</v>
      </c>
      <c r="I741" s="1" t="str">
        <f t="shared" si="11"/>
        <v>May</v>
      </c>
      <c r="J741" t="s">
        <v>10</v>
      </c>
    </row>
    <row r="742" spans="1:10" hidden="1" x14ac:dyDescent="0.35">
      <c r="A742" t="s">
        <v>869</v>
      </c>
      <c r="B742" t="s">
        <v>9</v>
      </c>
      <c r="C742">
        <v>0.4</v>
      </c>
      <c r="D742">
        <v>16</v>
      </c>
      <c r="E742" t="s">
        <v>866</v>
      </c>
      <c r="F742">
        <v>48.238633999999998</v>
      </c>
      <c r="G742">
        <v>17.074895000000001</v>
      </c>
      <c r="H742" s="1">
        <v>45433</v>
      </c>
      <c r="I742" s="1" t="str">
        <f t="shared" si="11"/>
        <v>May</v>
      </c>
      <c r="J742" t="s">
        <v>10</v>
      </c>
    </row>
    <row r="743" spans="1:10" x14ac:dyDescent="0.35">
      <c r="A743" t="s">
        <v>868</v>
      </c>
      <c r="B743" t="s">
        <v>4</v>
      </c>
      <c r="C743">
        <v>0.308</v>
      </c>
      <c r="D743">
        <v>23</v>
      </c>
      <c r="E743" t="s">
        <v>865</v>
      </c>
      <c r="F743">
        <v>52.212245000000003</v>
      </c>
      <c r="G743">
        <v>21.032988</v>
      </c>
      <c r="H743" s="1">
        <v>45434</v>
      </c>
      <c r="I743" s="1" t="str">
        <f t="shared" si="11"/>
        <v>May</v>
      </c>
      <c r="J743" t="s">
        <v>5</v>
      </c>
    </row>
    <row r="744" spans="1:10" hidden="1" x14ac:dyDescent="0.35">
      <c r="A744" t="s">
        <v>868</v>
      </c>
      <c r="B744" t="s">
        <v>4</v>
      </c>
      <c r="C744">
        <v>0.308</v>
      </c>
      <c r="D744">
        <v>22</v>
      </c>
      <c r="E744" t="s">
        <v>866</v>
      </c>
      <c r="F744">
        <v>52.212583000000002</v>
      </c>
      <c r="G744">
        <v>21.032931999999999</v>
      </c>
      <c r="H744" s="1">
        <v>45434</v>
      </c>
      <c r="I744" s="1" t="str">
        <f t="shared" si="11"/>
        <v>May</v>
      </c>
      <c r="J744" t="s">
        <v>5</v>
      </c>
    </row>
    <row r="745" spans="1:10" x14ac:dyDescent="0.35">
      <c r="A745" t="s">
        <v>868</v>
      </c>
      <c r="B745" t="s">
        <v>4</v>
      </c>
      <c r="C745">
        <v>0.28999999999999998</v>
      </c>
      <c r="D745">
        <v>23</v>
      </c>
      <c r="E745" t="s">
        <v>865</v>
      </c>
      <c r="F745">
        <v>52.212065000000003</v>
      </c>
      <c r="G745">
        <v>21.034571</v>
      </c>
      <c r="H745" s="1">
        <v>45435</v>
      </c>
      <c r="I745" s="1" t="str">
        <f t="shared" si="11"/>
        <v>May</v>
      </c>
      <c r="J745" t="s">
        <v>5</v>
      </c>
    </row>
    <row r="746" spans="1:10" x14ac:dyDescent="0.35">
      <c r="A746" t="s">
        <v>869</v>
      </c>
      <c r="B746" t="s">
        <v>9</v>
      </c>
      <c r="C746">
        <v>0.5</v>
      </c>
      <c r="D746">
        <v>16</v>
      </c>
      <c r="E746" t="s">
        <v>865</v>
      </c>
      <c r="F746">
        <v>48.231214000000001</v>
      </c>
      <c r="G746">
        <v>17.084105000000001</v>
      </c>
      <c r="H746" s="1">
        <v>45435</v>
      </c>
      <c r="I746" s="1" t="str">
        <f t="shared" si="11"/>
        <v>May</v>
      </c>
      <c r="J746" t="s">
        <v>10</v>
      </c>
    </row>
    <row r="747" spans="1:10" hidden="1" x14ac:dyDescent="0.35">
      <c r="A747" t="s">
        <v>867</v>
      </c>
      <c r="B747" t="s">
        <v>11</v>
      </c>
      <c r="C747">
        <v>21</v>
      </c>
      <c r="D747">
        <v>91</v>
      </c>
      <c r="E747" t="s">
        <v>866</v>
      </c>
      <c r="F747">
        <v>50.881878</v>
      </c>
      <c r="G747">
        <v>14.371969</v>
      </c>
      <c r="H747" s="1">
        <v>45435</v>
      </c>
      <c r="I747" s="1" t="str">
        <f t="shared" si="11"/>
        <v>May</v>
      </c>
      <c r="J747" t="s">
        <v>10</v>
      </c>
    </row>
    <row r="748" spans="1:10" hidden="1" x14ac:dyDescent="0.35">
      <c r="A748" t="s">
        <v>868</v>
      </c>
      <c r="B748" t="s">
        <v>4</v>
      </c>
      <c r="C748">
        <v>0.34599999999999997</v>
      </c>
      <c r="D748">
        <v>22</v>
      </c>
      <c r="E748" t="s">
        <v>866</v>
      </c>
      <c r="F748">
        <v>52.212305000000001</v>
      </c>
      <c r="G748">
        <v>21.033920999999999</v>
      </c>
      <c r="H748" s="1">
        <v>45436</v>
      </c>
      <c r="I748" s="1" t="str">
        <f t="shared" si="11"/>
        <v>May</v>
      </c>
      <c r="J748" t="s">
        <v>5</v>
      </c>
    </row>
    <row r="749" spans="1:10" hidden="1" x14ac:dyDescent="0.35">
      <c r="A749" t="s">
        <v>869</v>
      </c>
      <c r="B749" t="s">
        <v>9</v>
      </c>
      <c r="C749">
        <v>0.7</v>
      </c>
      <c r="D749">
        <v>20</v>
      </c>
      <c r="E749" t="s">
        <v>866</v>
      </c>
      <c r="F749">
        <v>48.231411000000001</v>
      </c>
      <c r="G749">
        <v>17.075483999999999</v>
      </c>
      <c r="H749" s="1">
        <v>45436</v>
      </c>
      <c r="I749" s="1" t="str">
        <f t="shared" si="11"/>
        <v>May</v>
      </c>
      <c r="J749" t="s">
        <v>10</v>
      </c>
    </row>
    <row r="750" spans="1:10" x14ac:dyDescent="0.35">
      <c r="A750" t="s">
        <v>868</v>
      </c>
      <c r="B750" t="s">
        <v>4</v>
      </c>
      <c r="C750">
        <v>0.32800000000000001</v>
      </c>
      <c r="D750">
        <v>20</v>
      </c>
      <c r="E750" t="s">
        <v>865</v>
      </c>
      <c r="F750">
        <v>52.212905999999997</v>
      </c>
      <c r="G750">
        <v>21.03321</v>
      </c>
      <c r="H750" s="1">
        <v>45437</v>
      </c>
      <c r="I750" s="1" t="str">
        <f t="shared" si="11"/>
        <v>May</v>
      </c>
      <c r="J750" t="s">
        <v>5</v>
      </c>
    </row>
    <row r="751" spans="1:10" hidden="1" x14ac:dyDescent="0.35">
      <c r="A751" t="s">
        <v>868</v>
      </c>
      <c r="B751" t="s">
        <v>4</v>
      </c>
      <c r="C751">
        <v>0.32700000000000001</v>
      </c>
      <c r="D751">
        <v>24</v>
      </c>
      <c r="E751" t="s">
        <v>866</v>
      </c>
      <c r="F751">
        <v>52.822110000000002</v>
      </c>
      <c r="G751">
        <v>23.814402999999999</v>
      </c>
      <c r="H751" s="1">
        <v>45438</v>
      </c>
      <c r="I751" s="1" t="str">
        <f t="shared" si="11"/>
        <v>May</v>
      </c>
      <c r="J751" t="s">
        <v>5</v>
      </c>
    </row>
    <row r="752" spans="1:10" x14ac:dyDescent="0.35">
      <c r="A752" t="s">
        <v>869</v>
      </c>
      <c r="B752" t="s">
        <v>9</v>
      </c>
      <c r="C752">
        <v>0.8</v>
      </c>
      <c r="D752">
        <v>18</v>
      </c>
      <c r="E752" t="s">
        <v>865</v>
      </c>
      <c r="F752">
        <v>48.237588000000002</v>
      </c>
      <c r="G752">
        <v>17.090344000000002</v>
      </c>
      <c r="H752" s="1">
        <v>45438</v>
      </c>
      <c r="I752" s="1" t="str">
        <f t="shared" si="11"/>
        <v>May</v>
      </c>
      <c r="J752" t="s">
        <v>10</v>
      </c>
    </row>
    <row r="753" spans="1:10" hidden="1" x14ac:dyDescent="0.35">
      <c r="A753" t="s">
        <v>869</v>
      </c>
      <c r="B753" t="s">
        <v>9</v>
      </c>
      <c r="C753">
        <v>0.7</v>
      </c>
      <c r="D753">
        <v>18</v>
      </c>
      <c r="E753" t="s">
        <v>866</v>
      </c>
      <c r="F753">
        <v>48.232774999999997</v>
      </c>
      <c r="G753">
        <v>17.070226000000002</v>
      </c>
      <c r="H753" s="1">
        <v>45439</v>
      </c>
      <c r="I753" s="1" t="str">
        <f t="shared" si="11"/>
        <v>May</v>
      </c>
      <c r="J753" t="s">
        <v>10</v>
      </c>
    </row>
    <row r="754" spans="1:10" x14ac:dyDescent="0.35">
      <c r="A754" t="s">
        <v>868</v>
      </c>
      <c r="B754" t="s">
        <v>4</v>
      </c>
      <c r="C754">
        <v>0.27400000000000002</v>
      </c>
      <c r="D754">
        <v>23</v>
      </c>
      <c r="E754" t="s">
        <v>865</v>
      </c>
      <c r="F754">
        <v>52.821630999999996</v>
      </c>
      <c r="G754">
        <v>23.813638000000001</v>
      </c>
      <c r="H754" s="1">
        <v>45440</v>
      </c>
      <c r="I754" s="1" t="str">
        <f t="shared" si="11"/>
        <v>May</v>
      </c>
      <c r="J754" t="s">
        <v>5</v>
      </c>
    </row>
    <row r="755" spans="1:10" hidden="1" x14ac:dyDescent="0.35">
      <c r="A755" t="s">
        <v>868</v>
      </c>
      <c r="B755" t="s">
        <v>4</v>
      </c>
      <c r="C755">
        <v>0.31</v>
      </c>
      <c r="D755">
        <v>19</v>
      </c>
      <c r="E755" t="s">
        <v>866</v>
      </c>
      <c r="F755">
        <v>52.821523999999997</v>
      </c>
      <c r="G755">
        <v>23.817036999999999</v>
      </c>
      <c r="H755" s="1">
        <v>45441</v>
      </c>
      <c r="I755" s="1" t="str">
        <f t="shared" si="11"/>
        <v>May</v>
      </c>
      <c r="J755" t="s">
        <v>5</v>
      </c>
    </row>
    <row r="756" spans="1:10" x14ac:dyDescent="0.35">
      <c r="A756" t="s">
        <v>869</v>
      </c>
      <c r="B756" t="s">
        <v>9</v>
      </c>
      <c r="C756">
        <v>0.8</v>
      </c>
      <c r="D756">
        <v>18</v>
      </c>
      <c r="E756" t="s">
        <v>865</v>
      </c>
      <c r="F756">
        <v>48.226889999999997</v>
      </c>
      <c r="G756">
        <v>17.084025</v>
      </c>
      <c r="H756" s="1">
        <v>45441</v>
      </c>
      <c r="I756" s="1" t="str">
        <f t="shared" si="11"/>
        <v>May</v>
      </c>
      <c r="J756" t="s">
        <v>10</v>
      </c>
    </row>
    <row r="757" spans="1:10" hidden="1" x14ac:dyDescent="0.35">
      <c r="A757" t="s">
        <v>867</v>
      </c>
      <c r="B757" t="s">
        <v>9</v>
      </c>
      <c r="C757">
        <v>25</v>
      </c>
      <c r="D757">
        <v>101</v>
      </c>
      <c r="E757" t="s">
        <v>866</v>
      </c>
      <c r="F757">
        <v>48.412941000000004</v>
      </c>
      <c r="G757">
        <v>18.863683999999999</v>
      </c>
      <c r="H757" s="1">
        <v>45441</v>
      </c>
      <c r="I757" s="1" t="str">
        <f t="shared" si="11"/>
        <v>May</v>
      </c>
      <c r="J757" t="s">
        <v>10</v>
      </c>
    </row>
    <row r="758" spans="1:10" hidden="1" x14ac:dyDescent="0.35">
      <c r="A758" t="s">
        <v>869</v>
      </c>
      <c r="B758" t="s">
        <v>9</v>
      </c>
      <c r="C758">
        <v>0.6</v>
      </c>
      <c r="D758">
        <v>18</v>
      </c>
      <c r="E758" t="s">
        <v>866</v>
      </c>
      <c r="F758">
        <v>48.237124000000001</v>
      </c>
      <c r="G758">
        <v>17.085811</v>
      </c>
      <c r="H758" s="1">
        <v>45442</v>
      </c>
      <c r="I758" s="1" t="str">
        <f t="shared" si="11"/>
        <v>May</v>
      </c>
      <c r="J758" t="s">
        <v>10</v>
      </c>
    </row>
    <row r="759" spans="1:10" hidden="1" x14ac:dyDescent="0.35">
      <c r="A759" t="s">
        <v>868</v>
      </c>
      <c r="B759" t="s">
        <v>4</v>
      </c>
      <c r="C759">
        <v>0.315</v>
      </c>
      <c r="D759">
        <v>24</v>
      </c>
      <c r="E759" t="s">
        <v>866</v>
      </c>
      <c r="F759">
        <v>52.822949999999999</v>
      </c>
      <c r="G759">
        <v>23.812750000000001</v>
      </c>
      <c r="H759" s="1">
        <v>45443</v>
      </c>
      <c r="I759" s="1" t="str">
        <f t="shared" si="11"/>
        <v>May</v>
      </c>
      <c r="J759" t="s">
        <v>5</v>
      </c>
    </row>
    <row r="760" spans="1:10" hidden="1" x14ac:dyDescent="0.35">
      <c r="A760" t="s">
        <v>868</v>
      </c>
      <c r="B760" t="s">
        <v>4</v>
      </c>
      <c r="C760">
        <v>0.29299999999999998</v>
      </c>
      <c r="D760">
        <v>22</v>
      </c>
      <c r="E760" t="s">
        <v>866</v>
      </c>
      <c r="F760">
        <v>52.820813000000001</v>
      </c>
      <c r="G760">
        <v>23.809086000000001</v>
      </c>
      <c r="H760" s="1">
        <v>45443</v>
      </c>
      <c r="I760" s="1" t="str">
        <f t="shared" si="11"/>
        <v>May</v>
      </c>
      <c r="J760" t="s">
        <v>5</v>
      </c>
    </row>
    <row r="761" spans="1:10" x14ac:dyDescent="0.35">
      <c r="A761" t="s">
        <v>868</v>
      </c>
      <c r="B761" t="s">
        <v>4</v>
      </c>
      <c r="C761">
        <v>0.30199999999999999</v>
      </c>
      <c r="D761">
        <v>24</v>
      </c>
      <c r="E761" t="s">
        <v>865</v>
      </c>
      <c r="F761">
        <v>52.825792999999997</v>
      </c>
      <c r="G761">
        <v>23.811067999999999</v>
      </c>
      <c r="H761" s="1">
        <v>45443</v>
      </c>
      <c r="I761" s="1" t="str">
        <f t="shared" si="11"/>
        <v>May</v>
      </c>
      <c r="J761" t="s">
        <v>5</v>
      </c>
    </row>
    <row r="762" spans="1:10" hidden="1" x14ac:dyDescent="0.35">
      <c r="A762" t="s">
        <v>868</v>
      </c>
      <c r="B762" t="s">
        <v>4</v>
      </c>
      <c r="C762">
        <v>0.29899999999999999</v>
      </c>
      <c r="D762">
        <v>20</v>
      </c>
      <c r="E762" t="s">
        <v>866</v>
      </c>
      <c r="F762">
        <v>52.820307999999997</v>
      </c>
      <c r="G762">
        <v>23.809736000000001</v>
      </c>
      <c r="H762" s="1">
        <v>45443</v>
      </c>
      <c r="I762" s="1" t="str">
        <f t="shared" si="11"/>
        <v>May</v>
      </c>
      <c r="J762" t="s">
        <v>5</v>
      </c>
    </row>
    <row r="763" spans="1:10" x14ac:dyDescent="0.35">
      <c r="A763" t="s">
        <v>869</v>
      </c>
      <c r="B763" t="s">
        <v>9</v>
      </c>
      <c r="C763">
        <v>0.6</v>
      </c>
      <c r="D763">
        <v>15</v>
      </c>
      <c r="E763" t="s">
        <v>865</v>
      </c>
      <c r="F763">
        <v>48.228141000000001</v>
      </c>
      <c r="G763">
        <v>17.089054999999998</v>
      </c>
      <c r="H763" s="1">
        <v>45443</v>
      </c>
      <c r="I763" s="1" t="str">
        <f t="shared" si="11"/>
        <v>May</v>
      </c>
      <c r="J763" t="s">
        <v>10</v>
      </c>
    </row>
    <row r="764" spans="1:10" x14ac:dyDescent="0.35">
      <c r="A764" t="s">
        <v>867</v>
      </c>
      <c r="B764" t="s">
        <v>9</v>
      </c>
      <c r="C764">
        <v>30</v>
      </c>
      <c r="D764">
        <v>115</v>
      </c>
      <c r="E764" t="s">
        <v>865</v>
      </c>
      <c r="F764">
        <v>48.408025000000002</v>
      </c>
      <c r="G764">
        <v>18.865228999999999</v>
      </c>
      <c r="H764" s="1">
        <v>45443</v>
      </c>
      <c r="I764" s="1" t="str">
        <f t="shared" si="11"/>
        <v>May</v>
      </c>
      <c r="J764" t="s">
        <v>10</v>
      </c>
    </row>
    <row r="765" spans="1:10" x14ac:dyDescent="0.35">
      <c r="A765" t="s">
        <v>868</v>
      </c>
      <c r="B765" t="s">
        <v>4</v>
      </c>
      <c r="C765">
        <v>0.32500000000000001</v>
      </c>
      <c r="D765">
        <v>20</v>
      </c>
      <c r="E765" t="s">
        <v>865</v>
      </c>
      <c r="F765">
        <v>52.823959000000002</v>
      </c>
      <c r="G765">
        <v>23.817073000000001</v>
      </c>
      <c r="H765" s="1">
        <v>45444</v>
      </c>
      <c r="I765" s="1" t="str">
        <f t="shared" si="11"/>
        <v>June</v>
      </c>
      <c r="J765" t="s">
        <v>5</v>
      </c>
    </row>
    <row r="766" spans="1:10" x14ac:dyDescent="0.35">
      <c r="A766" t="s">
        <v>868</v>
      </c>
      <c r="B766" t="s">
        <v>4</v>
      </c>
      <c r="C766">
        <v>0.27600000000000002</v>
      </c>
      <c r="D766">
        <v>22</v>
      </c>
      <c r="E766" t="s">
        <v>865</v>
      </c>
      <c r="F766">
        <v>52.825746000000002</v>
      </c>
      <c r="G766">
        <v>23.815204000000001</v>
      </c>
      <c r="H766" s="1">
        <v>45444</v>
      </c>
      <c r="I766" s="1" t="str">
        <f t="shared" ref="I766:I823" si="12">IF(H766="","",TEXT(H766,"MMMM"))</f>
        <v>June</v>
      </c>
      <c r="J766" t="s">
        <v>5</v>
      </c>
    </row>
    <row r="767" spans="1:10" hidden="1" x14ac:dyDescent="0.35">
      <c r="A767" t="s">
        <v>868</v>
      </c>
      <c r="B767" t="s">
        <v>4</v>
      </c>
      <c r="C767">
        <v>0.29799999999999999</v>
      </c>
      <c r="D767">
        <v>24</v>
      </c>
      <c r="E767" t="s">
        <v>866</v>
      </c>
      <c r="F767">
        <v>52.823594999999997</v>
      </c>
      <c r="G767">
        <v>23.814758000000001</v>
      </c>
      <c r="H767" s="1">
        <v>45444</v>
      </c>
      <c r="I767" s="1" t="str">
        <f t="shared" si="12"/>
        <v>June</v>
      </c>
      <c r="J767" t="s">
        <v>5</v>
      </c>
    </row>
    <row r="768" spans="1:10" x14ac:dyDescent="0.35">
      <c r="A768" t="s">
        <v>868</v>
      </c>
      <c r="B768" t="s">
        <v>4</v>
      </c>
      <c r="C768">
        <v>0.32200000000000001</v>
      </c>
      <c r="D768">
        <v>23</v>
      </c>
      <c r="E768" t="s">
        <v>865</v>
      </c>
      <c r="F768">
        <v>52.825363000000003</v>
      </c>
      <c r="G768">
        <v>23.816828999999998</v>
      </c>
      <c r="H768" s="1">
        <v>45444</v>
      </c>
      <c r="I768" s="1" t="str">
        <f t="shared" si="12"/>
        <v>June</v>
      </c>
      <c r="J768" t="s">
        <v>5</v>
      </c>
    </row>
    <row r="769" spans="1:10" hidden="1" x14ac:dyDescent="0.35">
      <c r="A769" t="s">
        <v>868</v>
      </c>
      <c r="B769" t="s">
        <v>4</v>
      </c>
      <c r="C769">
        <v>0.34399999999999997</v>
      </c>
      <c r="D769">
        <v>22</v>
      </c>
      <c r="E769" t="s">
        <v>866</v>
      </c>
      <c r="F769">
        <v>52.821958000000002</v>
      </c>
      <c r="G769">
        <v>23.811375000000002</v>
      </c>
      <c r="H769" s="1">
        <v>45444</v>
      </c>
      <c r="I769" s="1" t="str">
        <f t="shared" si="12"/>
        <v>June</v>
      </c>
      <c r="J769" t="s">
        <v>5</v>
      </c>
    </row>
    <row r="770" spans="1:10" hidden="1" x14ac:dyDescent="0.35">
      <c r="A770" t="s">
        <v>868</v>
      </c>
      <c r="B770" t="s">
        <v>4</v>
      </c>
      <c r="C770">
        <v>0.32300000000000001</v>
      </c>
      <c r="D770">
        <v>22</v>
      </c>
      <c r="E770" t="s">
        <v>866</v>
      </c>
      <c r="F770">
        <v>52.823084000000001</v>
      </c>
      <c r="G770">
        <v>23.816106000000001</v>
      </c>
      <c r="H770" s="1">
        <v>45444</v>
      </c>
      <c r="I770" s="1" t="str">
        <f t="shared" si="12"/>
        <v>June</v>
      </c>
      <c r="J770" t="s">
        <v>5</v>
      </c>
    </row>
    <row r="771" spans="1:10" x14ac:dyDescent="0.35">
      <c r="A771" t="s">
        <v>869</v>
      </c>
      <c r="B771" t="s">
        <v>9</v>
      </c>
      <c r="C771">
        <v>0.6</v>
      </c>
      <c r="D771">
        <v>15</v>
      </c>
      <c r="E771" t="s">
        <v>865</v>
      </c>
      <c r="F771">
        <v>48.238912999999997</v>
      </c>
      <c r="G771">
        <v>17.065508000000001</v>
      </c>
      <c r="H771" s="1">
        <v>45445</v>
      </c>
      <c r="I771" s="1" t="str">
        <f t="shared" si="12"/>
        <v>June</v>
      </c>
      <c r="J771" t="s">
        <v>10</v>
      </c>
    </row>
    <row r="772" spans="1:10" hidden="1" x14ac:dyDescent="0.35">
      <c r="A772" t="s">
        <v>869</v>
      </c>
      <c r="B772" t="s">
        <v>9</v>
      </c>
      <c r="C772">
        <v>0.7</v>
      </c>
      <c r="D772">
        <v>14</v>
      </c>
      <c r="E772" t="s">
        <v>866</v>
      </c>
      <c r="F772">
        <v>48.237761999999996</v>
      </c>
      <c r="G772">
        <v>17.067101000000001</v>
      </c>
      <c r="H772" s="1">
        <v>45446</v>
      </c>
      <c r="I772" s="1" t="str">
        <f t="shared" si="12"/>
        <v>June</v>
      </c>
      <c r="J772" t="s">
        <v>10</v>
      </c>
    </row>
    <row r="773" spans="1:10" hidden="1" x14ac:dyDescent="0.35">
      <c r="A773" t="s">
        <v>869</v>
      </c>
      <c r="B773" t="s">
        <v>9</v>
      </c>
      <c r="C773">
        <v>0.7</v>
      </c>
      <c r="D773">
        <v>17</v>
      </c>
      <c r="E773" t="s">
        <v>866</v>
      </c>
      <c r="F773">
        <v>48.238517000000002</v>
      </c>
      <c r="G773">
        <v>17.090267999999998</v>
      </c>
      <c r="H773" s="1">
        <v>45446</v>
      </c>
      <c r="I773" s="1" t="str">
        <f t="shared" si="12"/>
        <v>June</v>
      </c>
      <c r="J773" t="s">
        <v>10</v>
      </c>
    </row>
    <row r="774" spans="1:10" x14ac:dyDescent="0.35">
      <c r="A774" t="s">
        <v>869</v>
      </c>
      <c r="B774" t="s">
        <v>9</v>
      </c>
      <c r="C774">
        <v>0.7</v>
      </c>
      <c r="D774">
        <v>24</v>
      </c>
      <c r="E774" t="s">
        <v>865</v>
      </c>
      <c r="F774">
        <v>48.232384000000003</v>
      </c>
      <c r="G774">
        <v>17.067453</v>
      </c>
      <c r="H774" s="1">
        <v>45448</v>
      </c>
      <c r="I774" s="1" t="str">
        <f t="shared" si="12"/>
        <v>June</v>
      </c>
      <c r="J774" t="s">
        <v>10</v>
      </c>
    </row>
    <row r="775" spans="1:10" x14ac:dyDescent="0.35">
      <c r="A775" t="s">
        <v>868</v>
      </c>
      <c r="B775" t="s">
        <v>11</v>
      </c>
      <c r="C775">
        <v>0.32400000000000001</v>
      </c>
      <c r="D775">
        <v>19</v>
      </c>
      <c r="E775" t="s">
        <v>865</v>
      </c>
      <c r="F775">
        <v>50.881376000000003</v>
      </c>
      <c r="G775">
        <v>14.367502999999999</v>
      </c>
      <c r="H775" s="1">
        <v>45449</v>
      </c>
      <c r="I775" s="1" t="str">
        <f t="shared" si="12"/>
        <v>June</v>
      </c>
      <c r="J775" t="s">
        <v>10</v>
      </c>
    </row>
    <row r="776" spans="1:10" hidden="1" x14ac:dyDescent="0.35">
      <c r="A776" t="s">
        <v>868</v>
      </c>
      <c r="B776" t="s">
        <v>11</v>
      </c>
      <c r="C776">
        <v>0.32400000000000001</v>
      </c>
      <c r="D776">
        <v>19</v>
      </c>
      <c r="E776" t="s">
        <v>866</v>
      </c>
      <c r="F776">
        <v>50.883324999999999</v>
      </c>
      <c r="G776">
        <v>14.372463</v>
      </c>
      <c r="H776" s="1">
        <v>45449</v>
      </c>
      <c r="I776" s="1" t="str">
        <f t="shared" si="12"/>
        <v>June</v>
      </c>
      <c r="J776" t="s">
        <v>10</v>
      </c>
    </row>
    <row r="777" spans="1:10" hidden="1" x14ac:dyDescent="0.35">
      <c r="A777" t="s">
        <v>867</v>
      </c>
      <c r="B777" t="s">
        <v>9</v>
      </c>
      <c r="C777">
        <v>19</v>
      </c>
      <c r="D777">
        <v>84</v>
      </c>
      <c r="E777" t="s">
        <v>866</v>
      </c>
      <c r="F777">
        <v>48.408917000000002</v>
      </c>
      <c r="G777">
        <v>18.862915000000001</v>
      </c>
      <c r="H777" s="1">
        <v>45450</v>
      </c>
      <c r="I777" s="1" t="str">
        <f t="shared" si="12"/>
        <v>June</v>
      </c>
      <c r="J777" t="s">
        <v>10</v>
      </c>
    </row>
    <row r="778" spans="1:10" hidden="1" x14ac:dyDescent="0.35">
      <c r="A778" t="s">
        <v>868</v>
      </c>
      <c r="B778" t="s">
        <v>11</v>
      </c>
      <c r="C778">
        <v>0.29099999999999998</v>
      </c>
      <c r="D778">
        <v>21</v>
      </c>
      <c r="E778" t="s">
        <v>866</v>
      </c>
      <c r="F778">
        <v>50.881428</v>
      </c>
      <c r="G778">
        <v>14.366688999999999</v>
      </c>
      <c r="H778" s="1">
        <v>45451</v>
      </c>
      <c r="I778" s="1" t="str">
        <f t="shared" si="12"/>
        <v>June</v>
      </c>
      <c r="J778" t="s">
        <v>10</v>
      </c>
    </row>
    <row r="779" spans="1:10" x14ac:dyDescent="0.35">
      <c r="A779" t="s">
        <v>868</v>
      </c>
      <c r="B779" t="s">
        <v>11</v>
      </c>
      <c r="C779">
        <v>0.25800000000000001</v>
      </c>
      <c r="D779">
        <v>20</v>
      </c>
      <c r="E779" t="s">
        <v>865</v>
      </c>
      <c r="F779">
        <v>50.882641999999997</v>
      </c>
      <c r="G779">
        <v>14.372818000000001</v>
      </c>
      <c r="H779" s="1">
        <v>45451</v>
      </c>
      <c r="I779" s="1" t="str">
        <f t="shared" si="12"/>
        <v>June</v>
      </c>
      <c r="J779" t="s">
        <v>10</v>
      </c>
    </row>
    <row r="780" spans="1:10" x14ac:dyDescent="0.35">
      <c r="A780" t="s">
        <v>868</v>
      </c>
      <c r="B780" t="s">
        <v>11</v>
      </c>
      <c r="C780">
        <v>0.33300000000000002</v>
      </c>
      <c r="D780">
        <v>23</v>
      </c>
      <c r="E780" t="s">
        <v>865</v>
      </c>
      <c r="F780">
        <v>50.883848999999998</v>
      </c>
      <c r="G780">
        <v>14.367353</v>
      </c>
      <c r="H780" s="1">
        <v>45453</v>
      </c>
      <c r="I780" s="1" t="str">
        <f t="shared" si="12"/>
        <v>June</v>
      </c>
      <c r="J780" t="s">
        <v>10</v>
      </c>
    </row>
    <row r="781" spans="1:10" hidden="1" x14ac:dyDescent="0.35">
      <c r="A781" t="s">
        <v>868</v>
      </c>
      <c r="B781" t="s">
        <v>11</v>
      </c>
      <c r="C781">
        <v>0.27800000000000002</v>
      </c>
      <c r="D781">
        <v>18</v>
      </c>
      <c r="E781" t="s">
        <v>866</v>
      </c>
      <c r="F781">
        <v>50.884287999999998</v>
      </c>
      <c r="G781">
        <v>14.372837000000001</v>
      </c>
      <c r="H781" s="1">
        <v>45454</v>
      </c>
      <c r="I781" s="1" t="str">
        <f t="shared" si="12"/>
        <v>June</v>
      </c>
      <c r="J781" t="s">
        <v>10</v>
      </c>
    </row>
    <row r="782" spans="1:10" x14ac:dyDescent="0.35">
      <c r="A782" t="s">
        <v>867</v>
      </c>
      <c r="B782" t="s">
        <v>9</v>
      </c>
      <c r="C782">
        <v>23</v>
      </c>
      <c r="D782">
        <v>95</v>
      </c>
      <c r="E782" t="s">
        <v>865</v>
      </c>
      <c r="F782">
        <v>48.411735999999998</v>
      </c>
      <c r="G782">
        <v>18.874597000000001</v>
      </c>
      <c r="H782" s="1">
        <v>45462</v>
      </c>
      <c r="I782" s="1" t="str">
        <f t="shared" si="12"/>
        <v>June</v>
      </c>
      <c r="J782" t="s">
        <v>10</v>
      </c>
    </row>
    <row r="783" spans="1:10" hidden="1" x14ac:dyDescent="0.35">
      <c r="A783" t="s">
        <v>867</v>
      </c>
      <c r="B783" t="s">
        <v>9</v>
      </c>
      <c r="C783">
        <v>11</v>
      </c>
      <c r="D783">
        <v>52</v>
      </c>
      <c r="E783" t="s">
        <v>866</v>
      </c>
      <c r="F783">
        <v>48.411790000000003</v>
      </c>
      <c r="G783">
        <v>18.871649999999999</v>
      </c>
      <c r="H783" s="1">
        <v>45462</v>
      </c>
      <c r="I783" s="1" t="str">
        <f t="shared" si="12"/>
        <v>June</v>
      </c>
      <c r="J783" t="s">
        <v>10</v>
      </c>
    </row>
    <row r="784" spans="1:10" hidden="1" x14ac:dyDescent="0.35">
      <c r="A784" t="s">
        <v>867</v>
      </c>
      <c r="B784" t="s">
        <v>11</v>
      </c>
      <c r="C784">
        <v>25</v>
      </c>
      <c r="D784">
        <v>97</v>
      </c>
      <c r="E784" t="s">
        <v>866</v>
      </c>
      <c r="F784">
        <v>50.881003</v>
      </c>
      <c r="G784">
        <v>14.369286000000001</v>
      </c>
      <c r="H784" s="1">
        <v>45473</v>
      </c>
      <c r="I784" s="1" t="str">
        <f t="shared" si="12"/>
        <v>June</v>
      </c>
      <c r="J784" t="s">
        <v>10</v>
      </c>
    </row>
    <row r="785" spans="1:10" hidden="1" x14ac:dyDescent="0.35">
      <c r="A785" t="s">
        <v>867</v>
      </c>
      <c r="B785" t="s">
        <v>9</v>
      </c>
      <c r="C785">
        <v>15</v>
      </c>
      <c r="D785">
        <v>65</v>
      </c>
      <c r="E785" t="s">
        <v>866</v>
      </c>
      <c r="F785">
        <v>48.406339000000003</v>
      </c>
      <c r="G785">
        <v>18.841070999999999</v>
      </c>
      <c r="H785" s="1">
        <v>45476</v>
      </c>
      <c r="I785" s="1" t="str">
        <f t="shared" si="12"/>
        <v>July</v>
      </c>
      <c r="J785" t="s">
        <v>13</v>
      </c>
    </row>
    <row r="786" spans="1:10" x14ac:dyDescent="0.35">
      <c r="A786" t="s">
        <v>867</v>
      </c>
      <c r="B786" t="s">
        <v>9</v>
      </c>
      <c r="C786">
        <v>18</v>
      </c>
      <c r="D786">
        <v>85</v>
      </c>
      <c r="E786" t="s">
        <v>865</v>
      </c>
      <c r="F786">
        <v>48.411729000000001</v>
      </c>
      <c r="G786">
        <v>18.835591000000001</v>
      </c>
      <c r="H786" s="1">
        <v>45476</v>
      </c>
      <c r="I786" s="1" t="str">
        <f t="shared" si="12"/>
        <v>July</v>
      </c>
      <c r="J786" t="s">
        <v>13</v>
      </c>
    </row>
    <row r="787" spans="1:10" hidden="1" x14ac:dyDescent="0.35">
      <c r="A787" t="s">
        <v>868</v>
      </c>
      <c r="B787" t="s">
        <v>9</v>
      </c>
      <c r="C787">
        <v>0.29699999999999999</v>
      </c>
      <c r="D787">
        <v>20</v>
      </c>
      <c r="E787" t="s">
        <v>866</v>
      </c>
      <c r="F787">
        <v>49.054132000000003</v>
      </c>
      <c r="G787">
        <v>22.411066000000002</v>
      </c>
      <c r="H787" s="1">
        <v>45476</v>
      </c>
      <c r="I787" s="1" t="str">
        <f t="shared" si="12"/>
        <v>July</v>
      </c>
      <c r="J787" t="s">
        <v>13</v>
      </c>
    </row>
    <row r="788" spans="1:10" hidden="1" x14ac:dyDescent="0.35">
      <c r="A788" t="s">
        <v>868</v>
      </c>
      <c r="B788" t="s">
        <v>9</v>
      </c>
      <c r="C788">
        <v>0.27300000000000002</v>
      </c>
      <c r="D788">
        <v>23</v>
      </c>
      <c r="E788" t="s">
        <v>866</v>
      </c>
      <c r="F788">
        <v>49.055962000000001</v>
      </c>
      <c r="G788">
        <v>22.425526999999999</v>
      </c>
      <c r="H788" s="1">
        <v>45476</v>
      </c>
      <c r="I788" s="1" t="str">
        <f t="shared" si="12"/>
        <v>July</v>
      </c>
      <c r="J788" t="s">
        <v>13</v>
      </c>
    </row>
    <row r="789" spans="1:10" x14ac:dyDescent="0.35">
      <c r="A789" t="s">
        <v>868</v>
      </c>
      <c r="B789" t="s">
        <v>9</v>
      </c>
      <c r="C789">
        <v>0.254</v>
      </c>
      <c r="D789">
        <v>19</v>
      </c>
      <c r="E789" t="s">
        <v>865</v>
      </c>
      <c r="F789">
        <v>49.055646000000003</v>
      </c>
      <c r="G789">
        <v>22.412458000000001</v>
      </c>
      <c r="H789" s="1">
        <v>45476</v>
      </c>
      <c r="I789" s="1" t="str">
        <f t="shared" si="12"/>
        <v>July</v>
      </c>
      <c r="J789" t="s">
        <v>13</v>
      </c>
    </row>
    <row r="790" spans="1:10" hidden="1" x14ac:dyDescent="0.35">
      <c r="A790" t="s">
        <v>868</v>
      </c>
      <c r="B790" t="s">
        <v>9</v>
      </c>
      <c r="C790">
        <v>0.30499999999999999</v>
      </c>
      <c r="D790">
        <v>20</v>
      </c>
      <c r="E790" t="s">
        <v>866</v>
      </c>
      <c r="F790">
        <v>49.052909999999997</v>
      </c>
      <c r="G790">
        <v>22.420860999999999</v>
      </c>
      <c r="H790" s="1">
        <v>45476</v>
      </c>
      <c r="I790" s="1" t="str">
        <f t="shared" si="12"/>
        <v>July</v>
      </c>
      <c r="J790" t="s">
        <v>13</v>
      </c>
    </row>
    <row r="791" spans="1:10" hidden="1" x14ac:dyDescent="0.35">
      <c r="A791" t="s">
        <v>868</v>
      </c>
      <c r="B791" t="s">
        <v>9</v>
      </c>
      <c r="C791">
        <v>0.32700000000000001</v>
      </c>
      <c r="D791">
        <v>19</v>
      </c>
      <c r="E791" t="s">
        <v>866</v>
      </c>
      <c r="F791">
        <v>49.055546999999997</v>
      </c>
      <c r="G791">
        <v>22.411172000000001</v>
      </c>
      <c r="H791" s="1">
        <v>45476</v>
      </c>
      <c r="I791" s="1" t="str">
        <f t="shared" si="12"/>
        <v>July</v>
      </c>
      <c r="J791" t="s">
        <v>13</v>
      </c>
    </row>
    <row r="792" spans="1:10" x14ac:dyDescent="0.35">
      <c r="A792" t="s">
        <v>868</v>
      </c>
      <c r="B792" t="s">
        <v>9</v>
      </c>
      <c r="C792">
        <v>0.30499999999999999</v>
      </c>
      <c r="D792">
        <v>20</v>
      </c>
      <c r="E792" t="s">
        <v>865</v>
      </c>
      <c r="F792">
        <v>49.054647000000003</v>
      </c>
      <c r="G792">
        <v>22.410444999999999</v>
      </c>
      <c r="H792" s="1">
        <v>45476</v>
      </c>
      <c r="I792" s="1" t="str">
        <f t="shared" si="12"/>
        <v>July</v>
      </c>
      <c r="J792" t="s">
        <v>13</v>
      </c>
    </row>
    <row r="793" spans="1:10" x14ac:dyDescent="0.35">
      <c r="A793" t="s">
        <v>869</v>
      </c>
      <c r="B793" t="s">
        <v>9</v>
      </c>
      <c r="C793">
        <v>1</v>
      </c>
      <c r="D793">
        <v>17</v>
      </c>
      <c r="E793" t="s">
        <v>865</v>
      </c>
      <c r="F793">
        <v>48.226063000000003</v>
      </c>
      <c r="G793">
        <v>17.078596000000001</v>
      </c>
      <c r="H793" s="1">
        <v>45478</v>
      </c>
      <c r="I793" s="1" t="str">
        <f t="shared" si="12"/>
        <v>July</v>
      </c>
      <c r="J793" t="s">
        <v>13</v>
      </c>
    </row>
    <row r="794" spans="1:10" hidden="1" x14ac:dyDescent="0.35">
      <c r="A794" t="s">
        <v>869</v>
      </c>
      <c r="B794" t="s">
        <v>9</v>
      </c>
      <c r="C794">
        <v>0.6</v>
      </c>
      <c r="D794">
        <v>16</v>
      </c>
      <c r="E794" t="s">
        <v>866</v>
      </c>
      <c r="F794">
        <v>48.238067000000001</v>
      </c>
      <c r="G794">
        <v>17.090890999999999</v>
      </c>
      <c r="H794" s="1">
        <v>45478</v>
      </c>
      <c r="I794" s="1" t="str">
        <f t="shared" si="12"/>
        <v>July</v>
      </c>
      <c r="J794" t="s">
        <v>13</v>
      </c>
    </row>
    <row r="795" spans="1:10" hidden="1" x14ac:dyDescent="0.35">
      <c r="A795" t="s">
        <v>869</v>
      </c>
      <c r="B795" t="s">
        <v>9</v>
      </c>
      <c r="C795">
        <v>1.1000000000000001</v>
      </c>
      <c r="D795">
        <v>20</v>
      </c>
      <c r="E795" t="s">
        <v>866</v>
      </c>
      <c r="F795">
        <v>48.239539999999998</v>
      </c>
      <c r="G795">
        <v>17.066718999999999</v>
      </c>
      <c r="H795" s="1">
        <v>45478</v>
      </c>
      <c r="I795" s="1" t="str">
        <f t="shared" si="12"/>
        <v>July</v>
      </c>
      <c r="J795" t="s">
        <v>13</v>
      </c>
    </row>
    <row r="796" spans="1:10" x14ac:dyDescent="0.35">
      <c r="A796" t="s">
        <v>868</v>
      </c>
      <c r="B796" t="s">
        <v>9</v>
      </c>
      <c r="C796">
        <v>0.32700000000000001</v>
      </c>
      <c r="D796">
        <v>23</v>
      </c>
      <c r="E796" t="s">
        <v>865</v>
      </c>
      <c r="F796">
        <v>49.057284000000003</v>
      </c>
      <c r="G796">
        <v>22.423860999999999</v>
      </c>
      <c r="H796" s="1">
        <v>45507</v>
      </c>
      <c r="I796" s="1" t="str">
        <f t="shared" si="12"/>
        <v>August</v>
      </c>
      <c r="J796" t="s">
        <v>13</v>
      </c>
    </row>
    <row r="797" spans="1:10" hidden="1" x14ac:dyDescent="0.35">
      <c r="A797" t="s">
        <v>868</v>
      </c>
      <c r="B797" t="s">
        <v>9</v>
      </c>
      <c r="C797">
        <v>0.31900000000000001</v>
      </c>
      <c r="D797">
        <v>22</v>
      </c>
      <c r="E797" t="s">
        <v>866</v>
      </c>
      <c r="F797">
        <v>49.054751000000003</v>
      </c>
      <c r="G797">
        <v>22.419160000000002</v>
      </c>
      <c r="H797" s="1">
        <v>45507</v>
      </c>
      <c r="I797" s="1" t="str">
        <f t="shared" si="12"/>
        <v>August</v>
      </c>
      <c r="J797" t="s">
        <v>13</v>
      </c>
    </row>
    <row r="798" spans="1:10" x14ac:dyDescent="0.35">
      <c r="A798" t="s">
        <v>868</v>
      </c>
      <c r="B798" t="s">
        <v>9</v>
      </c>
      <c r="C798">
        <v>0.30299999999999999</v>
      </c>
      <c r="D798">
        <v>20</v>
      </c>
      <c r="E798" t="s">
        <v>865</v>
      </c>
      <c r="F798">
        <v>49.055929999999996</v>
      </c>
      <c r="G798">
        <v>22.424085000000002</v>
      </c>
      <c r="H798" s="1">
        <v>45507</v>
      </c>
      <c r="I798" s="1" t="str">
        <f t="shared" si="12"/>
        <v>August</v>
      </c>
      <c r="J798" t="s">
        <v>13</v>
      </c>
    </row>
    <row r="799" spans="1:10" x14ac:dyDescent="0.35">
      <c r="A799" t="s">
        <v>867</v>
      </c>
      <c r="B799" t="s">
        <v>9</v>
      </c>
      <c r="C799">
        <v>12</v>
      </c>
      <c r="D799">
        <v>61</v>
      </c>
      <c r="E799" t="s">
        <v>865</v>
      </c>
      <c r="F799">
        <v>48.413927999999999</v>
      </c>
      <c r="G799">
        <v>18.835280999999998</v>
      </c>
      <c r="H799" s="1">
        <v>45538</v>
      </c>
      <c r="I799" s="1" t="str">
        <f t="shared" si="12"/>
        <v>September</v>
      </c>
      <c r="J799" t="s">
        <v>13</v>
      </c>
    </row>
    <row r="800" spans="1:10" hidden="1" x14ac:dyDescent="0.35">
      <c r="A800" t="s">
        <v>868</v>
      </c>
      <c r="B800" t="s">
        <v>9</v>
      </c>
      <c r="C800">
        <v>0.309</v>
      </c>
      <c r="D800">
        <v>20</v>
      </c>
      <c r="E800" t="s">
        <v>866</v>
      </c>
      <c r="F800">
        <v>49.057758</v>
      </c>
      <c r="G800">
        <v>22.415168999999999</v>
      </c>
      <c r="H800" s="1">
        <v>45538</v>
      </c>
      <c r="I800" s="1" t="str">
        <f t="shared" si="12"/>
        <v>September</v>
      </c>
      <c r="J800" t="s">
        <v>13</v>
      </c>
    </row>
    <row r="801" spans="1:10" x14ac:dyDescent="0.35">
      <c r="A801" t="s">
        <v>868</v>
      </c>
      <c r="B801" t="s">
        <v>9</v>
      </c>
      <c r="C801">
        <v>0.33200000000000002</v>
      </c>
      <c r="D801">
        <v>19</v>
      </c>
      <c r="E801" t="s">
        <v>865</v>
      </c>
      <c r="F801">
        <v>48.185695000000003</v>
      </c>
      <c r="G801">
        <v>17.090741999999999</v>
      </c>
      <c r="H801" s="1">
        <v>45538</v>
      </c>
      <c r="I801" s="1" t="str">
        <f t="shared" si="12"/>
        <v>September</v>
      </c>
      <c r="J801" t="s">
        <v>13</v>
      </c>
    </row>
    <row r="802" spans="1:10" hidden="1" x14ac:dyDescent="0.35">
      <c r="A802" t="s">
        <v>868</v>
      </c>
      <c r="B802" t="s">
        <v>9</v>
      </c>
      <c r="C802">
        <v>0.33100000000000002</v>
      </c>
      <c r="D802">
        <v>18</v>
      </c>
      <c r="E802" t="s">
        <v>866</v>
      </c>
      <c r="F802">
        <v>48.186039999999998</v>
      </c>
      <c r="G802">
        <v>17.091146999999999</v>
      </c>
      <c r="H802" s="1">
        <v>45599</v>
      </c>
      <c r="I802" s="1" t="str">
        <f t="shared" si="12"/>
        <v>November</v>
      </c>
      <c r="J802" t="s">
        <v>13</v>
      </c>
    </row>
    <row r="803" spans="1:10" x14ac:dyDescent="0.35">
      <c r="A803" t="s">
        <v>869</v>
      </c>
      <c r="B803" t="s">
        <v>6</v>
      </c>
      <c r="C803">
        <v>1</v>
      </c>
      <c r="D803">
        <v>23</v>
      </c>
      <c r="E803" t="s">
        <v>865</v>
      </c>
      <c r="F803">
        <v>47.509754999999998</v>
      </c>
      <c r="G803">
        <v>18.949465</v>
      </c>
      <c r="H803" s="1">
        <v>45413</v>
      </c>
      <c r="I803" s="1" t="str">
        <f t="shared" si="12"/>
        <v>May</v>
      </c>
      <c r="J803" t="s">
        <v>5</v>
      </c>
    </row>
    <row r="804" spans="1:10" hidden="1" x14ac:dyDescent="0.35">
      <c r="A804" t="s">
        <v>869</v>
      </c>
      <c r="B804" t="s">
        <v>6</v>
      </c>
      <c r="C804">
        <v>0.9</v>
      </c>
      <c r="D804">
        <v>16</v>
      </c>
      <c r="E804" t="s">
        <v>866</v>
      </c>
      <c r="F804">
        <v>47.507052999999999</v>
      </c>
      <c r="G804">
        <v>18.943306</v>
      </c>
      <c r="H804" s="2">
        <v>45413</v>
      </c>
      <c r="I804" s="1" t="str">
        <f t="shared" si="12"/>
        <v>May</v>
      </c>
      <c r="J804" t="s">
        <v>5</v>
      </c>
    </row>
    <row r="805" spans="1:10" x14ac:dyDescent="0.35">
      <c r="A805" t="s">
        <v>868</v>
      </c>
      <c r="B805" t="s">
        <v>4</v>
      </c>
      <c r="C805">
        <v>0.28100000000000003</v>
      </c>
      <c r="D805">
        <v>21</v>
      </c>
      <c r="E805" t="s">
        <v>865</v>
      </c>
      <c r="F805">
        <v>52.211984999999999</v>
      </c>
      <c r="G805">
        <v>21.032869000000002</v>
      </c>
      <c r="H805" s="1">
        <v>45413</v>
      </c>
      <c r="I805" s="1" t="str">
        <f t="shared" si="12"/>
        <v>May</v>
      </c>
      <c r="J805" t="s">
        <v>5</v>
      </c>
    </row>
    <row r="806" spans="1:10" hidden="1" x14ac:dyDescent="0.35">
      <c r="A806" t="s">
        <v>869</v>
      </c>
      <c r="B806" t="s">
        <v>9</v>
      </c>
      <c r="C806">
        <v>0.6</v>
      </c>
      <c r="D806">
        <v>19</v>
      </c>
      <c r="E806" t="s">
        <v>866</v>
      </c>
      <c r="F806">
        <v>48.184621</v>
      </c>
      <c r="G806">
        <v>17.089464</v>
      </c>
      <c r="H806" s="2">
        <v>45413</v>
      </c>
      <c r="I806" s="1" t="str">
        <f t="shared" si="12"/>
        <v>May</v>
      </c>
      <c r="J806" t="s">
        <v>10</v>
      </c>
    </row>
    <row r="807" spans="1:10" x14ac:dyDescent="0.35">
      <c r="A807" t="s">
        <v>867</v>
      </c>
      <c r="B807" t="s">
        <v>9</v>
      </c>
      <c r="C807">
        <v>27</v>
      </c>
      <c r="D807">
        <v>96</v>
      </c>
      <c r="E807" t="s">
        <v>865</v>
      </c>
      <c r="F807">
        <v>48.406669000000001</v>
      </c>
      <c r="G807">
        <v>18.871601999999999</v>
      </c>
      <c r="H807" s="1">
        <v>45413</v>
      </c>
      <c r="I807" s="1" t="str">
        <f t="shared" si="12"/>
        <v>May</v>
      </c>
      <c r="J807" t="s">
        <v>10</v>
      </c>
    </row>
    <row r="808" spans="1:10" hidden="1" x14ac:dyDescent="0.35">
      <c r="A808" t="s">
        <v>867</v>
      </c>
      <c r="B808" t="s">
        <v>4</v>
      </c>
      <c r="C808">
        <v>13</v>
      </c>
      <c r="D808">
        <v>63</v>
      </c>
      <c r="E808" t="s">
        <v>866</v>
      </c>
      <c r="F808">
        <v>52.846378999999999</v>
      </c>
      <c r="G808">
        <v>23.904990000000002</v>
      </c>
      <c r="H808" s="2">
        <v>45414</v>
      </c>
      <c r="I808" s="1" t="str">
        <f t="shared" si="12"/>
        <v>May</v>
      </c>
      <c r="J808" t="s">
        <v>5</v>
      </c>
    </row>
    <row r="809" spans="1:10" hidden="1" x14ac:dyDescent="0.35">
      <c r="A809" t="s">
        <v>867</v>
      </c>
      <c r="B809" t="s">
        <v>4</v>
      </c>
      <c r="C809">
        <v>20</v>
      </c>
      <c r="D809">
        <v>87</v>
      </c>
      <c r="E809" t="s">
        <v>866</v>
      </c>
      <c r="F809">
        <v>52.852069</v>
      </c>
      <c r="G809">
        <v>23.900870000000001</v>
      </c>
      <c r="H809" s="2">
        <v>45414</v>
      </c>
      <c r="I809" s="1" t="str">
        <f t="shared" si="12"/>
        <v>May</v>
      </c>
      <c r="J809" t="s">
        <v>5</v>
      </c>
    </row>
    <row r="810" spans="1:10" hidden="1" x14ac:dyDescent="0.35">
      <c r="A810" t="s">
        <v>868</v>
      </c>
      <c r="B810" t="s">
        <v>4</v>
      </c>
      <c r="C810">
        <v>0.28199999999999997</v>
      </c>
      <c r="D810">
        <v>22</v>
      </c>
      <c r="E810" t="s">
        <v>866</v>
      </c>
      <c r="F810">
        <v>52.212910999999998</v>
      </c>
      <c r="G810">
        <v>21.034175000000001</v>
      </c>
      <c r="H810" s="2">
        <v>45414</v>
      </c>
      <c r="I810" s="1" t="str">
        <f t="shared" si="12"/>
        <v>May</v>
      </c>
      <c r="J810" t="s">
        <v>5</v>
      </c>
    </row>
    <row r="811" spans="1:10" hidden="1" x14ac:dyDescent="0.35">
      <c r="A811" t="s">
        <v>868</v>
      </c>
      <c r="B811" t="s">
        <v>7</v>
      </c>
      <c r="C811">
        <v>0.30499999999999999</v>
      </c>
      <c r="D811">
        <v>21</v>
      </c>
      <c r="E811" t="s">
        <v>866</v>
      </c>
      <c r="F811">
        <v>48.162609000000003</v>
      </c>
      <c r="G811">
        <v>11.494157</v>
      </c>
      <c r="H811" s="2">
        <v>45414</v>
      </c>
      <c r="I811" s="1" t="str">
        <f t="shared" si="12"/>
        <v>May</v>
      </c>
      <c r="J811" t="s">
        <v>8</v>
      </c>
    </row>
    <row r="812" spans="1:10" x14ac:dyDescent="0.35">
      <c r="A812" t="s">
        <v>864</v>
      </c>
      <c r="B812" t="s">
        <v>11</v>
      </c>
      <c r="C812">
        <v>727</v>
      </c>
      <c r="D812">
        <v>210</v>
      </c>
      <c r="E812" t="s">
        <v>865</v>
      </c>
      <c r="F812">
        <v>50.643056000000001</v>
      </c>
      <c r="G812">
        <v>14.843037000000001</v>
      </c>
      <c r="H812" s="1">
        <v>45414</v>
      </c>
      <c r="I812" s="1" t="str">
        <f t="shared" si="12"/>
        <v>May</v>
      </c>
      <c r="J812" t="s">
        <v>10</v>
      </c>
    </row>
    <row r="813" spans="1:10" hidden="1" x14ac:dyDescent="0.35">
      <c r="A813" t="s">
        <v>867</v>
      </c>
      <c r="B813" t="s">
        <v>9</v>
      </c>
      <c r="C813">
        <v>25</v>
      </c>
      <c r="D813">
        <v>107</v>
      </c>
      <c r="E813" t="s">
        <v>866</v>
      </c>
      <c r="F813">
        <v>48.408475000000003</v>
      </c>
      <c r="G813">
        <v>18.872534999999999</v>
      </c>
      <c r="H813" s="2">
        <v>45414</v>
      </c>
      <c r="I813" s="1" t="str">
        <f t="shared" si="12"/>
        <v>May</v>
      </c>
      <c r="J813" t="s">
        <v>10</v>
      </c>
    </row>
    <row r="814" spans="1:10" x14ac:dyDescent="0.35">
      <c r="A814" t="s">
        <v>869</v>
      </c>
      <c r="B814" t="s">
        <v>6</v>
      </c>
      <c r="C814">
        <v>1.2</v>
      </c>
      <c r="D814">
        <v>26</v>
      </c>
      <c r="E814" t="s">
        <v>865</v>
      </c>
      <c r="F814">
        <v>47.509103000000003</v>
      </c>
      <c r="G814">
        <v>18.948170999999999</v>
      </c>
      <c r="H814" s="1">
        <v>45415</v>
      </c>
      <c r="I814" s="1" t="str">
        <f t="shared" si="12"/>
        <v>May</v>
      </c>
      <c r="J814" t="s">
        <v>5</v>
      </c>
    </row>
    <row r="815" spans="1:10" x14ac:dyDescent="0.35">
      <c r="A815" t="s">
        <v>869</v>
      </c>
      <c r="B815" t="s">
        <v>9</v>
      </c>
      <c r="C815">
        <v>1.1000000000000001</v>
      </c>
      <c r="D815">
        <v>22</v>
      </c>
      <c r="E815" t="s">
        <v>865</v>
      </c>
      <c r="F815">
        <v>48.183926999999997</v>
      </c>
      <c r="G815">
        <v>17.090716</v>
      </c>
      <c r="H815" s="1">
        <v>45415</v>
      </c>
      <c r="I815" s="1" t="str">
        <f t="shared" si="12"/>
        <v>May</v>
      </c>
      <c r="J815" t="s">
        <v>10</v>
      </c>
    </row>
    <row r="816" spans="1:10" hidden="1" x14ac:dyDescent="0.35">
      <c r="A816" t="s">
        <v>868</v>
      </c>
      <c r="B816" t="s">
        <v>4</v>
      </c>
      <c r="C816">
        <v>0.317</v>
      </c>
      <c r="D816">
        <v>19</v>
      </c>
      <c r="E816" t="s">
        <v>866</v>
      </c>
      <c r="F816">
        <v>52.212310000000002</v>
      </c>
      <c r="G816">
        <v>21.033586</v>
      </c>
      <c r="H816" s="2">
        <v>45416</v>
      </c>
      <c r="I816" s="1" t="str">
        <f t="shared" si="12"/>
        <v>May</v>
      </c>
      <c r="J816" t="s">
        <v>5</v>
      </c>
    </row>
    <row r="817" spans="1:10" x14ac:dyDescent="0.35">
      <c r="A817" t="s">
        <v>869</v>
      </c>
      <c r="B817" t="s">
        <v>6</v>
      </c>
      <c r="C817">
        <v>0.7</v>
      </c>
      <c r="D817">
        <v>26</v>
      </c>
      <c r="E817" t="s">
        <v>865</v>
      </c>
      <c r="F817">
        <v>47.510697</v>
      </c>
      <c r="G817">
        <v>18.948588000000001</v>
      </c>
      <c r="H817" s="1">
        <v>45417</v>
      </c>
      <c r="I817" s="1" t="str">
        <f t="shared" si="12"/>
        <v>May</v>
      </c>
      <c r="J817" t="s">
        <v>5</v>
      </c>
    </row>
    <row r="818" spans="1:10" hidden="1" x14ac:dyDescent="0.35">
      <c r="A818" t="s">
        <v>869</v>
      </c>
      <c r="B818" t="s">
        <v>6</v>
      </c>
      <c r="C818">
        <v>1.1000000000000001</v>
      </c>
      <c r="D818">
        <v>21</v>
      </c>
      <c r="E818" t="s">
        <v>866</v>
      </c>
      <c r="F818">
        <v>47.505903000000004</v>
      </c>
      <c r="G818">
        <v>18.948537999999999</v>
      </c>
      <c r="H818" s="2">
        <v>45417</v>
      </c>
      <c r="I818" s="1" t="str">
        <f t="shared" si="12"/>
        <v>May</v>
      </c>
      <c r="J818" t="s">
        <v>5</v>
      </c>
    </row>
    <row r="819" spans="1:10" hidden="1" x14ac:dyDescent="0.35">
      <c r="A819" t="s">
        <v>867</v>
      </c>
      <c r="B819" t="s">
        <v>4</v>
      </c>
      <c r="C819">
        <v>24</v>
      </c>
      <c r="D819">
        <v>89</v>
      </c>
      <c r="E819" t="s">
        <v>866</v>
      </c>
      <c r="F819">
        <v>52.847482999999997</v>
      </c>
      <c r="G819">
        <v>23.906057000000001</v>
      </c>
      <c r="H819" s="2">
        <v>45417</v>
      </c>
      <c r="I819" s="1" t="str">
        <f t="shared" si="12"/>
        <v>May</v>
      </c>
      <c r="J819" t="s">
        <v>5</v>
      </c>
    </row>
    <row r="820" spans="1:10" hidden="1" x14ac:dyDescent="0.35">
      <c r="A820" t="s">
        <v>869</v>
      </c>
      <c r="B820" t="s">
        <v>7</v>
      </c>
      <c r="C820">
        <v>0.6</v>
      </c>
      <c r="D820">
        <v>23</v>
      </c>
      <c r="E820" t="s">
        <v>866</v>
      </c>
      <c r="F820">
        <v>49.561219999999999</v>
      </c>
      <c r="G820">
        <v>11.082195</v>
      </c>
      <c r="H820" s="2">
        <v>45417</v>
      </c>
      <c r="I820" s="1" t="str">
        <f t="shared" si="12"/>
        <v>May</v>
      </c>
      <c r="J820" t="s">
        <v>8</v>
      </c>
    </row>
    <row r="821" spans="1:10" hidden="1" x14ac:dyDescent="0.35">
      <c r="A821" t="s">
        <v>869</v>
      </c>
      <c r="B821" t="s">
        <v>7</v>
      </c>
      <c r="C821">
        <v>0.7</v>
      </c>
      <c r="D821">
        <v>21</v>
      </c>
      <c r="E821" t="s">
        <v>866</v>
      </c>
      <c r="F821">
        <v>49.559522999999999</v>
      </c>
      <c r="G821">
        <v>11.103683999999999</v>
      </c>
      <c r="H821" s="2">
        <v>45417</v>
      </c>
      <c r="I821" s="1" t="str">
        <f t="shared" si="12"/>
        <v>May</v>
      </c>
      <c r="J821" t="s">
        <v>8</v>
      </c>
    </row>
    <row r="822" spans="1:10" x14ac:dyDescent="0.35">
      <c r="A822" t="s">
        <v>869</v>
      </c>
      <c r="B822" t="s">
        <v>7</v>
      </c>
      <c r="C822">
        <v>0.6</v>
      </c>
      <c r="D822">
        <v>23</v>
      </c>
      <c r="E822" t="s">
        <v>865</v>
      </c>
      <c r="F822">
        <v>49.547725</v>
      </c>
      <c r="G822">
        <v>11.082734</v>
      </c>
      <c r="H822" s="1">
        <v>45417</v>
      </c>
      <c r="I822" s="1" t="str">
        <f t="shared" si="12"/>
        <v>May</v>
      </c>
      <c r="J822" t="s">
        <v>8</v>
      </c>
    </row>
    <row r="823" spans="1:10" x14ac:dyDescent="0.35">
      <c r="A823" t="s">
        <v>869</v>
      </c>
      <c r="B823" t="s">
        <v>9</v>
      </c>
      <c r="C823">
        <v>1</v>
      </c>
      <c r="D823">
        <v>21</v>
      </c>
      <c r="E823" t="s">
        <v>865</v>
      </c>
      <c r="F823">
        <v>48.185893</v>
      </c>
      <c r="G823">
        <v>17.08942</v>
      </c>
      <c r="H823" s="1">
        <v>45417</v>
      </c>
      <c r="I823" s="1" t="str">
        <f t="shared" si="12"/>
        <v>May</v>
      </c>
      <c r="J823" t="s">
        <v>10</v>
      </c>
    </row>
    <row r="824" spans="1:10" x14ac:dyDescent="0.35">
      <c r="A824" t="s">
        <v>869</v>
      </c>
      <c r="B824" t="s">
        <v>9</v>
      </c>
      <c r="C824">
        <v>0.4</v>
      </c>
      <c r="D824">
        <v>16</v>
      </c>
      <c r="E824" t="s">
        <v>865</v>
      </c>
      <c r="F824">
        <v>48.187845000000003</v>
      </c>
      <c r="G824">
        <v>17.086572</v>
      </c>
      <c r="H824" s="1">
        <v>45417</v>
      </c>
      <c r="I824" s="1" t="str">
        <f t="shared" ref="I824:I834" si="13">IF(H824="","",TEXT(H824,"MMMM"))</f>
        <v>May</v>
      </c>
      <c r="J824" t="s">
        <v>10</v>
      </c>
    </row>
    <row r="825" spans="1:10" hidden="1" x14ac:dyDescent="0.35">
      <c r="A825" t="s">
        <v>869</v>
      </c>
      <c r="B825" t="s">
        <v>9</v>
      </c>
      <c r="C825">
        <v>0.7</v>
      </c>
      <c r="D825">
        <v>19</v>
      </c>
      <c r="E825" t="s">
        <v>866</v>
      </c>
      <c r="F825">
        <v>48.184277999999999</v>
      </c>
      <c r="G825">
        <v>17.086877999999999</v>
      </c>
      <c r="H825" s="2">
        <v>45417</v>
      </c>
      <c r="I825" s="1" t="str">
        <f t="shared" si="13"/>
        <v>May</v>
      </c>
      <c r="J825" t="s">
        <v>10</v>
      </c>
    </row>
    <row r="826" spans="1:10" x14ac:dyDescent="0.35">
      <c r="A826" t="s">
        <v>868</v>
      </c>
      <c r="B826" t="s">
        <v>4</v>
      </c>
      <c r="C826">
        <v>0.30099999999999999</v>
      </c>
      <c r="D826">
        <v>22</v>
      </c>
      <c r="E826" t="s">
        <v>865</v>
      </c>
      <c r="F826">
        <v>52.212760000000003</v>
      </c>
      <c r="G826">
        <v>21.034189000000001</v>
      </c>
      <c r="H826" s="1">
        <v>45418</v>
      </c>
      <c r="I826" s="1" t="str">
        <f t="shared" si="13"/>
        <v>May</v>
      </c>
      <c r="J826" t="s">
        <v>5</v>
      </c>
    </row>
    <row r="827" spans="1:10" x14ac:dyDescent="0.35">
      <c r="A827" t="s">
        <v>868</v>
      </c>
      <c r="B827" t="s">
        <v>4</v>
      </c>
      <c r="C827">
        <v>0.34300000000000003</v>
      </c>
      <c r="D827">
        <v>22</v>
      </c>
      <c r="E827" t="s">
        <v>865</v>
      </c>
      <c r="F827">
        <v>52.212496999999999</v>
      </c>
      <c r="G827">
        <v>21.033515000000001</v>
      </c>
      <c r="H827" s="1">
        <v>45418</v>
      </c>
      <c r="I827" s="1" t="str">
        <f t="shared" si="13"/>
        <v>May</v>
      </c>
      <c r="J827" t="s">
        <v>5</v>
      </c>
    </row>
    <row r="828" spans="1:10" hidden="1" x14ac:dyDescent="0.35">
      <c r="A828" t="s">
        <v>868</v>
      </c>
      <c r="B828" t="s">
        <v>4</v>
      </c>
      <c r="C828">
        <v>0.307</v>
      </c>
      <c r="D828">
        <v>20</v>
      </c>
      <c r="E828" t="s">
        <v>866</v>
      </c>
      <c r="F828">
        <v>52.212144000000002</v>
      </c>
      <c r="G828">
        <v>21.033534</v>
      </c>
      <c r="H828" s="2">
        <v>45418</v>
      </c>
      <c r="I828" s="1" t="str">
        <f t="shared" si="13"/>
        <v>May</v>
      </c>
      <c r="J828" t="s">
        <v>5</v>
      </c>
    </row>
    <row r="829" spans="1:10" x14ac:dyDescent="0.35">
      <c r="A829" t="s">
        <v>869</v>
      </c>
      <c r="B829" t="s">
        <v>9</v>
      </c>
      <c r="C829">
        <v>0.8</v>
      </c>
      <c r="D829">
        <v>21</v>
      </c>
      <c r="E829" t="s">
        <v>865</v>
      </c>
      <c r="F829">
        <v>48.187468000000003</v>
      </c>
      <c r="G829">
        <v>17.088826999999998</v>
      </c>
      <c r="H829" s="1">
        <v>45418</v>
      </c>
      <c r="I829" s="1" t="str">
        <f t="shared" si="13"/>
        <v>May</v>
      </c>
      <c r="J829" t="s">
        <v>10</v>
      </c>
    </row>
    <row r="830" spans="1:10" x14ac:dyDescent="0.35">
      <c r="A830" t="s">
        <v>869</v>
      </c>
      <c r="B830" t="s">
        <v>6</v>
      </c>
      <c r="C830">
        <v>0.9</v>
      </c>
      <c r="D830">
        <v>23</v>
      </c>
      <c r="E830" t="s">
        <v>865</v>
      </c>
      <c r="F830">
        <v>47.510055000000001</v>
      </c>
      <c r="G830">
        <v>18.944355999999999</v>
      </c>
      <c r="H830" s="1">
        <v>45419</v>
      </c>
      <c r="I830" s="1" t="str">
        <f t="shared" si="13"/>
        <v>May</v>
      </c>
      <c r="J830" t="s">
        <v>5</v>
      </c>
    </row>
    <row r="831" spans="1:10" hidden="1" x14ac:dyDescent="0.35">
      <c r="A831" t="s">
        <v>868</v>
      </c>
      <c r="B831" t="s">
        <v>4</v>
      </c>
      <c r="C831">
        <v>0.34599999999999997</v>
      </c>
      <c r="D831">
        <v>20</v>
      </c>
      <c r="E831" t="s">
        <v>866</v>
      </c>
      <c r="F831">
        <v>52.212001000000001</v>
      </c>
      <c r="G831">
        <v>21.033187000000002</v>
      </c>
      <c r="H831" s="2">
        <v>45419</v>
      </c>
      <c r="I831" s="1" t="str">
        <f t="shared" si="13"/>
        <v>May</v>
      </c>
      <c r="J831" t="s">
        <v>5</v>
      </c>
    </row>
    <row r="832" spans="1:10" hidden="1" x14ac:dyDescent="0.35">
      <c r="A832" t="s">
        <v>869</v>
      </c>
      <c r="B832" t="s">
        <v>7</v>
      </c>
      <c r="C832">
        <v>1</v>
      </c>
      <c r="D832">
        <v>23</v>
      </c>
      <c r="E832" t="s">
        <v>866</v>
      </c>
      <c r="F832">
        <v>49.561356000000004</v>
      </c>
      <c r="G832">
        <v>11.105333999999999</v>
      </c>
      <c r="H832" s="2">
        <v>45419</v>
      </c>
      <c r="I832" s="1" t="str">
        <f t="shared" si="13"/>
        <v>May</v>
      </c>
      <c r="J832" t="s">
        <v>8</v>
      </c>
    </row>
    <row r="833" spans="1:10" hidden="1" x14ac:dyDescent="0.35">
      <c r="A833" t="s">
        <v>869</v>
      </c>
      <c r="B833" t="s">
        <v>7</v>
      </c>
      <c r="C833">
        <v>0.5</v>
      </c>
      <c r="D833">
        <v>17</v>
      </c>
      <c r="E833" t="s">
        <v>866</v>
      </c>
      <c r="F833">
        <v>49.561568999999999</v>
      </c>
      <c r="G833">
        <v>11.087046000000001</v>
      </c>
      <c r="H833" s="2">
        <v>45419</v>
      </c>
      <c r="I833" s="1" t="str">
        <f t="shared" si="13"/>
        <v>May</v>
      </c>
      <c r="J833" t="s">
        <v>8</v>
      </c>
    </row>
    <row r="834" spans="1:10" hidden="1" x14ac:dyDescent="0.35">
      <c r="A834" t="s">
        <v>869</v>
      </c>
      <c r="B834" t="s">
        <v>6</v>
      </c>
      <c r="C834">
        <v>0.9</v>
      </c>
      <c r="D834">
        <v>16</v>
      </c>
      <c r="E834" t="s">
        <v>866</v>
      </c>
      <c r="F834">
        <v>47.509860000000003</v>
      </c>
      <c r="G834">
        <v>18.939943</v>
      </c>
      <c r="H834" s="2">
        <v>45420</v>
      </c>
      <c r="I834" s="1" t="str">
        <f t="shared" si="13"/>
        <v>May</v>
      </c>
      <c r="J834" t="s">
        <v>5</v>
      </c>
    </row>
    <row r="835" spans="1:10" hidden="1" x14ac:dyDescent="0.35">
      <c r="H835" s="2"/>
      <c r="I835" s="2" t="str">
        <f>IF(H835="","",TEXT(H835,"MMMM"))</f>
        <v/>
      </c>
    </row>
  </sheetData>
  <sheetProtection selectLockedCells="1" selectUnlockedCells="1"/>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14DE8-79C6-49A4-AB4A-BC8B7AE0C74C}">
  <dimension ref="A2:I35"/>
  <sheetViews>
    <sheetView zoomScale="60" zoomScaleNormal="40" workbookViewId="0">
      <selection activeCell="N4" sqref="N4"/>
    </sheetView>
  </sheetViews>
  <sheetFormatPr defaultRowHeight="14.5" x14ac:dyDescent="0.35"/>
  <cols>
    <col min="1" max="1" width="14" bestFit="1" customWidth="1"/>
    <col min="2" max="2" width="19" bestFit="1" customWidth="1"/>
    <col min="4" max="4" width="19" bestFit="1" customWidth="1"/>
    <col min="5" max="5" width="16.7265625" bestFit="1" customWidth="1"/>
    <col min="6" max="6" width="5.08984375" bestFit="1" customWidth="1"/>
    <col min="7" max="7" width="6.7265625" bestFit="1" customWidth="1"/>
    <col min="8" max="8" width="11.1796875" bestFit="1" customWidth="1"/>
    <col min="9" max="9" width="6.7265625" bestFit="1" customWidth="1"/>
    <col min="10" max="10" width="9.1796875" bestFit="1" customWidth="1"/>
    <col min="11" max="11" width="4.54296875" bestFit="1" customWidth="1"/>
    <col min="12" max="12" width="19" bestFit="1" customWidth="1"/>
    <col min="13" max="13" width="15.26953125" bestFit="1" customWidth="1"/>
    <col min="14" max="14" width="9.1796875" bestFit="1" customWidth="1"/>
    <col min="15" max="15" width="4.54296875" bestFit="1" customWidth="1"/>
    <col min="16" max="16" width="10.90625" bestFit="1" customWidth="1"/>
  </cols>
  <sheetData>
    <row r="2" spans="1:7" x14ac:dyDescent="0.35">
      <c r="A2" s="8" t="s">
        <v>886</v>
      </c>
      <c r="D2" s="5" t="s">
        <v>888</v>
      </c>
    </row>
    <row r="3" spans="1:7" x14ac:dyDescent="0.35">
      <c r="A3" s="3" t="s">
        <v>872</v>
      </c>
      <c r="B3" t="s">
        <v>874</v>
      </c>
      <c r="D3" s="3" t="s">
        <v>872</v>
      </c>
      <c r="E3" t="s">
        <v>889</v>
      </c>
      <c r="F3" t="s">
        <v>890</v>
      </c>
    </row>
    <row r="4" spans="1:7" x14ac:dyDescent="0.35">
      <c r="A4" s="4" t="s">
        <v>868</v>
      </c>
      <c r="B4" s="10">
        <v>413</v>
      </c>
      <c r="D4" s="4" t="s">
        <v>864</v>
      </c>
      <c r="E4" s="7">
        <v>588.39682539682542</v>
      </c>
      <c r="F4" s="7">
        <v>244.23809523809524</v>
      </c>
    </row>
    <row r="5" spans="1:7" x14ac:dyDescent="0.35">
      <c r="A5" s="4" t="s">
        <v>869</v>
      </c>
      <c r="B5" s="10">
        <v>278</v>
      </c>
      <c r="D5" s="4" t="s">
        <v>869</v>
      </c>
      <c r="E5" s="6">
        <v>0.79964028776978302</v>
      </c>
      <c r="F5" s="7">
        <v>20.233812949640289</v>
      </c>
    </row>
    <row r="6" spans="1:7" x14ac:dyDescent="0.35">
      <c r="A6" s="4" t="s">
        <v>867</v>
      </c>
      <c r="B6" s="10">
        <v>71</v>
      </c>
      <c r="D6" s="4" t="s">
        <v>867</v>
      </c>
      <c r="E6" s="7">
        <v>23.267605633802816</v>
      </c>
      <c r="F6" s="7">
        <v>82.901408450704224</v>
      </c>
    </row>
    <row r="7" spans="1:7" x14ac:dyDescent="0.35">
      <c r="A7" s="4" t="s">
        <v>864</v>
      </c>
      <c r="B7" s="10">
        <v>63</v>
      </c>
      <c r="D7" s="4" t="s">
        <v>868</v>
      </c>
      <c r="E7" s="6">
        <v>0.29637046004842643</v>
      </c>
      <c r="F7" s="7">
        <v>20.506053268765132</v>
      </c>
    </row>
    <row r="8" spans="1:7" x14ac:dyDescent="0.35">
      <c r="A8" s="4" t="s">
        <v>873</v>
      </c>
      <c r="B8" s="10">
        <v>825</v>
      </c>
      <c r="D8" s="4" t="s">
        <v>891</v>
      </c>
      <c r="E8" s="10">
        <v>0.28725000000000001</v>
      </c>
      <c r="F8" s="7">
        <v>20.375</v>
      </c>
    </row>
    <row r="12" spans="1:7" x14ac:dyDescent="0.35">
      <c r="A12" s="5" t="s">
        <v>875</v>
      </c>
      <c r="D12" s="5" t="s">
        <v>887</v>
      </c>
    </row>
    <row r="13" spans="1:7" x14ac:dyDescent="0.35">
      <c r="A13" s="3" t="s">
        <v>872</v>
      </c>
      <c r="B13" t="s">
        <v>874</v>
      </c>
      <c r="D13" s="3" t="s">
        <v>874</v>
      </c>
      <c r="E13" s="3" t="s">
        <v>884</v>
      </c>
    </row>
    <row r="14" spans="1:7" x14ac:dyDescent="0.35">
      <c r="A14" s="4" t="s">
        <v>4</v>
      </c>
      <c r="B14" s="10">
        <v>192</v>
      </c>
      <c r="D14" s="3" t="s">
        <v>872</v>
      </c>
      <c r="E14" t="s">
        <v>866</v>
      </c>
      <c r="F14" t="s">
        <v>865</v>
      </c>
      <c r="G14" t="s">
        <v>891</v>
      </c>
    </row>
    <row r="15" spans="1:7" x14ac:dyDescent="0.35">
      <c r="A15" s="4" t="s">
        <v>7</v>
      </c>
      <c r="B15" s="10">
        <v>178</v>
      </c>
      <c r="D15" s="4" t="s">
        <v>868</v>
      </c>
      <c r="E15" s="7">
        <v>192</v>
      </c>
      <c r="F15" s="7">
        <v>221</v>
      </c>
      <c r="G15" s="7"/>
    </row>
    <row r="16" spans="1:7" x14ac:dyDescent="0.35">
      <c r="A16" s="4" t="s">
        <v>9</v>
      </c>
      <c r="B16" s="10">
        <v>151</v>
      </c>
      <c r="D16" s="4" t="s">
        <v>869</v>
      </c>
      <c r="E16" s="7">
        <v>138</v>
      </c>
      <c r="F16" s="7">
        <v>140</v>
      </c>
      <c r="G16" s="7"/>
    </row>
    <row r="17" spans="1:9" x14ac:dyDescent="0.35">
      <c r="A17" s="4" t="s">
        <v>6</v>
      </c>
      <c r="B17" s="10">
        <v>118</v>
      </c>
      <c r="D17" s="4" t="s">
        <v>867</v>
      </c>
      <c r="E17" s="7">
        <v>37</v>
      </c>
      <c r="F17" s="7">
        <v>34</v>
      </c>
      <c r="G17" s="7"/>
    </row>
    <row r="18" spans="1:9" x14ac:dyDescent="0.35">
      <c r="A18" s="4" t="s">
        <v>11</v>
      </c>
      <c r="B18" s="10">
        <v>116</v>
      </c>
      <c r="D18" s="4" t="s">
        <v>864</v>
      </c>
      <c r="E18" s="7">
        <v>37</v>
      </c>
      <c r="F18" s="7">
        <v>26</v>
      </c>
      <c r="G18" s="7"/>
    </row>
    <row r="19" spans="1:9" x14ac:dyDescent="0.35">
      <c r="A19" s="4" t="s">
        <v>12</v>
      </c>
      <c r="B19" s="10">
        <v>66</v>
      </c>
      <c r="D19" s="4" t="s">
        <v>891</v>
      </c>
      <c r="E19" s="7"/>
      <c r="F19" s="7"/>
      <c r="G19" s="7"/>
    </row>
    <row r="20" spans="1:9" x14ac:dyDescent="0.35">
      <c r="A20" s="4" t="s">
        <v>870</v>
      </c>
      <c r="B20" s="10">
        <v>4</v>
      </c>
    </row>
    <row r="24" spans="1:9" x14ac:dyDescent="0.35">
      <c r="A24" t="str">
        <f t="shared" ref="A24:B31" si="0">A13</f>
        <v>Row Labels</v>
      </c>
      <c r="B24" t="str">
        <f t="shared" si="0"/>
        <v>Count of Animal Type</v>
      </c>
      <c r="D24" s="5" t="s">
        <v>885</v>
      </c>
    </row>
    <row r="25" spans="1:9" x14ac:dyDescent="0.35">
      <c r="A25" t="str">
        <f t="shared" si="0"/>
        <v>Poland</v>
      </c>
      <c r="B25">
        <f t="shared" si="0"/>
        <v>192</v>
      </c>
      <c r="D25" s="3" t="s">
        <v>874</v>
      </c>
      <c r="E25" s="3" t="s">
        <v>884</v>
      </c>
    </row>
    <row r="26" spans="1:9" x14ac:dyDescent="0.35">
      <c r="A26" t="str">
        <f t="shared" si="0"/>
        <v>Germany</v>
      </c>
      <c r="B26">
        <f t="shared" si="0"/>
        <v>178</v>
      </c>
      <c r="D26" s="3" t="s">
        <v>872</v>
      </c>
      <c r="E26" t="s">
        <v>864</v>
      </c>
      <c r="F26" t="s">
        <v>869</v>
      </c>
      <c r="G26" t="s">
        <v>867</v>
      </c>
      <c r="H26" t="s">
        <v>868</v>
      </c>
      <c r="I26" t="s">
        <v>891</v>
      </c>
    </row>
    <row r="27" spans="1:9" x14ac:dyDescent="0.35">
      <c r="A27" t="str">
        <f t="shared" si="0"/>
        <v>Slovakia</v>
      </c>
      <c r="B27">
        <f t="shared" si="0"/>
        <v>151</v>
      </c>
      <c r="D27" s="4" t="s">
        <v>876</v>
      </c>
      <c r="E27" s="10">
        <v>46</v>
      </c>
      <c r="F27" s="10">
        <v>150</v>
      </c>
      <c r="G27" s="10">
        <v>34</v>
      </c>
      <c r="H27" s="10">
        <v>193</v>
      </c>
      <c r="I27" s="10"/>
    </row>
    <row r="28" spans="1:9" x14ac:dyDescent="0.35">
      <c r="A28" t="str">
        <f t="shared" si="0"/>
        <v>Hungary</v>
      </c>
      <c r="B28">
        <f t="shared" si="0"/>
        <v>118</v>
      </c>
      <c r="D28" s="4" t="s">
        <v>877</v>
      </c>
      <c r="E28" s="10">
        <v>16</v>
      </c>
      <c r="F28" s="10">
        <v>75</v>
      </c>
      <c r="G28" s="10">
        <v>20</v>
      </c>
      <c r="H28" s="10">
        <v>161</v>
      </c>
      <c r="I28" s="10"/>
    </row>
    <row r="29" spans="1:9" x14ac:dyDescent="0.35">
      <c r="A29" t="str">
        <f t="shared" si="0"/>
        <v>Czech Republic</v>
      </c>
      <c r="B29">
        <f t="shared" si="0"/>
        <v>116</v>
      </c>
      <c r="D29" s="4" t="s">
        <v>878</v>
      </c>
      <c r="E29" s="10">
        <v>1</v>
      </c>
      <c r="F29" s="10">
        <v>46</v>
      </c>
      <c r="G29" s="10">
        <v>10</v>
      </c>
      <c r="H29" s="10">
        <v>35</v>
      </c>
      <c r="I29" s="10"/>
    </row>
    <row r="30" spans="1:9" x14ac:dyDescent="0.35">
      <c r="A30" t="str">
        <f t="shared" si="0"/>
        <v>Austria</v>
      </c>
      <c r="B30">
        <f t="shared" si="0"/>
        <v>66</v>
      </c>
      <c r="D30" s="4" t="s">
        <v>879</v>
      </c>
      <c r="E30" s="10"/>
      <c r="F30" s="10">
        <v>4</v>
      </c>
      <c r="G30" s="10">
        <v>4</v>
      </c>
      <c r="H30" s="10">
        <v>12</v>
      </c>
      <c r="I30" s="10"/>
    </row>
    <row r="31" spans="1:9" x14ac:dyDescent="0.35">
      <c r="A31" t="str">
        <f t="shared" si="0"/>
        <v>Australia</v>
      </c>
      <c r="B31">
        <f t="shared" si="0"/>
        <v>4</v>
      </c>
      <c r="D31" s="4" t="s">
        <v>880</v>
      </c>
      <c r="E31" s="10"/>
      <c r="F31" s="10">
        <v>3</v>
      </c>
      <c r="G31" s="10">
        <v>2</v>
      </c>
      <c r="H31" s="10">
        <v>6</v>
      </c>
      <c r="I31" s="10"/>
    </row>
    <row r="32" spans="1:9" x14ac:dyDescent="0.35">
      <c r="D32" s="4" t="s">
        <v>881</v>
      </c>
      <c r="E32" s="10"/>
      <c r="F32" s="10"/>
      <c r="G32" s="10"/>
      <c r="H32" s="10">
        <v>3</v>
      </c>
      <c r="I32" s="10"/>
    </row>
    <row r="33" spans="4:9" x14ac:dyDescent="0.35">
      <c r="D33" s="4" t="s">
        <v>882</v>
      </c>
      <c r="E33" s="10"/>
      <c r="F33" s="10"/>
      <c r="G33" s="10">
        <v>1</v>
      </c>
      <c r="H33" s="10">
        <v>2</v>
      </c>
      <c r="I33" s="10"/>
    </row>
    <row r="34" spans="4:9" x14ac:dyDescent="0.35">
      <c r="D34" s="4" t="s">
        <v>883</v>
      </c>
      <c r="E34" s="10"/>
      <c r="F34" s="10"/>
      <c r="G34" s="10"/>
      <c r="H34" s="10">
        <v>1</v>
      </c>
      <c r="I34" s="10"/>
    </row>
    <row r="35" spans="4:9" x14ac:dyDescent="0.35">
      <c r="D35" s="4" t="s">
        <v>873</v>
      </c>
      <c r="E35" s="10">
        <v>63</v>
      </c>
      <c r="F35" s="10">
        <v>278</v>
      </c>
      <c r="G35" s="10">
        <v>71</v>
      </c>
      <c r="H35" s="10">
        <v>413</v>
      </c>
      <c r="I35"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6A63D-0271-416D-92D3-6A304B4FC7BD}">
  <dimension ref="A1"/>
  <sheetViews>
    <sheetView showGridLines="0" tabSelected="1" topLeftCell="G1" zoomScale="57" workbookViewId="0">
      <selection sqref="A1:XFD1048576"/>
    </sheetView>
  </sheetViews>
  <sheetFormatPr defaultRowHeight="14.5" x14ac:dyDescent="0.35"/>
  <cols>
    <col min="1" max="16384" width="8.7265625" style="9"/>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animal_data_dirtyyy</vt:lpstr>
      <vt:lpstr>animal_data_cleaned</vt:lpstr>
      <vt:lpstr>PivotTable</vt:lpstr>
      <vt:lpstr>Dashboard</vt:lpstr>
      <vt:lpstr>kpi</vt:lpstr>
      <vt:lpstr>loc</vt:lpstr>
      <vt:lpstr>observed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Tomisin Adeyemi</cp:lastModifiedBy>
  <dcterms:created xsi:type="dcterms:W3CDTF">2026-01-15T12:00:00Z</dcterms:created>
  <dcterms:modified xsi:type="dcterms:W3CDTF">2026-01-22T20:27:43Z</dcterms:modified>
</cp:coreProperties>
</file>